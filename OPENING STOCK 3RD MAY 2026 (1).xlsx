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fgardencity.FH-GCM-STK01\Downloads\"/>
    </mc:Choice>
  </mc:AlternateContent>
  <xr:revisionPtr revIDLastSave="0" documentId="8_{BF994125-E111-4B4F-B1C1-012FF63E9727}" xr6:coauthVersionLast="47" xr6:coauthVersionMax="47" xr10:uidLastSave="{00000000-0000-0000-0000-000000000000}"/>
  <bookViews>
    <workbookView xWindow="-120" yWindow="-120" windowWidth="29040" windowHeight="17640" xr2:uid="{63A5821F-C842-41E6-909F-E7EA878E775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8" i="2" l="1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2" i="2"/>
  <c r="K61" i="2"/>
  <c r="K60" i="2"/>
  <c r="K59" i="2"/>
  <c r="K58" i="2"/>
  <c r="K57" i="2"/>
  <c r="K56" i="2"/>
  <c r="K55" i="2"/>
  <c r="K54" i="2"/>
  <c r="G54" i="2"/>
  <c r="G53" i="2"/>
  <c r="I53" i="2" s="1"/>
  <c r="K53" i="2" s="1"/>
  <c r="G52" i="2"/>
  <c r="I52" i="2" s="1"/>
  <c r="K52" i="2" s="1"/>
  <c r="G51" i="2"/>
  <c r="I51" i="2" s="1"/>
  <c r="K51" i="2" s="1"/>
  <c r="G50" i="2"/>
  <c r="I50" i="2" s="1"/>
  <c r="K50" i="2" s="1"/>
  <c r="K49" i="2"/>
  <c r="G49" i="2"/>
  <c r="K48" i="2"/>
  <c r="K47" i="2"/>
  <c r="K46" i="2"/>
  <c r="K45" i="2"/>
  <c r="K44" i="2"/>
  <c r="K43" i="2"/>
  <c r="K42" i="2"/>
  <c r="G42" i="2"/>
  <c r="K41" i="2"/>
  <c r="K40" i="2"/>
  <c r="K39" i="2"/>
  <c r="K38" i="2"/>
  <c r="K37" i="2"/>
  <c r="K36" i="2"/>
  <c r="G36" i="2"/>
  <c r="G35" i="2"/>
  <c r="I35" i="2" s="1"/>
  <c r="K33" i="2"/>
  <c r="G33" i="2"/>
  <c r="K32" i="2"/>
  <c r="K29" i="2"/>
  <c r="K28" i="2"/>
  <c r="K27" i="2"/>
  <c r="I27" i="2"/>
  <c r="G26" i="2"/>
  <c r="I26" i="2" s="1"/>
  <c r="K26" i="2" s="1"/>
  <c r="G25" i="2"/>
  <c r="I25" i="2" s="1"/>
  <c r="K25" i="2" s="1"/>
  <c r="K24" i="2"/>
  <c r="G23" i="2"/>
  <c r="I23" i="2" s="1"/>
  <c r="K23" i="2" s="1"/>
  <c r="K22" i="2"/>
  <c r="K21" i="2"/>
  <c r="K19" i="2"/>
  <c r="K18" i="2"/>
  <c r="K16" i="2"/>
  <c r="K15" i="2"/>
  <c r="K13" i="2"/>
  <c r="K12" i="2"/>
  <c r="K11" i="2"/>
  <c r="K10" i="2"/>
  <c r="G9" i="2"/>
  <c r="I9" i="2" s="1"/>
  <c r="K9" i="2" s="1"/>
  <c r="K8" i="2"/>
  <c r="G7" i="2"/>
  <c r="I7" i="2" s="1"/>
  <c r="K7" i="2" s="1"/>
  <c r="G6" i="2"/>
  <c r="I6" i="2" s="1"/>
  <c r="K6" i="2" s="1"/>
  <c r="J82" i="1"/>
</calcChain>
</file>

<file path=xl/sharedStrings.xml><?xml version="1.0" encoding="utf-8"?>
<sst xmlns="http://schemas.openxmlformats.org/spreadsheetml/2006/main" count="243" uniqueCount="175">
  <si>
    <t>SITE : GARDENCITY PHC REPORT</t>
  </si>
  <si>
    <t>WEEKLY STOCK REPORT</t>
  </si>
  <si>
    <t>WEEKLY REPORT</t>
  </si>
  <si>
    <t>ITEM NAMES</t>
  </si>
  <si>
    <t>OPENING STOCK</t>
  </si>
  <si>
    <t>QTY RECEIVED</t>
  </si>
  <si>
    <t>QTY SOLD</t>
  </si>
  <si>
    <t>DAMAGES</t>
  </si>
  <si>
    <t>TRANS OUT</t>
  </si>
  <si>
    <t>STOCK BALANCE</t>
  </si>
  <si>
    <t>PHY. COUNT</t>
  </si>
  <si>
    <t>VARIANCE</t>
  </si>
  <si>
    <t>UNIT COST</t>
  </si>
  <si>
    <t>VARIANCE VALUE</t>
  </si>
  <si>
    <t>Comment</t>
  </si>
  <si>
    <t xml:space="preserve"> Print items</t>
  </si>
  <si>
    <t>CUBE PACK</t>
  </si>
  <si>
    <t>CUBE SODA DRINK</t>
  </si>
  <si>
    <t>POS ROLL</t>
  </si>
  <si>
    <t>FILM MIX</t>
  </si>
  <si>
    <t>LARGE POPCORN</t>
  </si>
  <si>
    <t>MEDIUM</t>
  </si>
  <si>
    <t>REGULAR</t>
  </si>
  <si>
    <t>THERMAL ROLL (CARTON)</t>
  </si>
  <si>
    <t>Drinks (Traditional)</t>
  </si>
  <si>
    <t>SODA DRINKS</t>
  </si>
  <si>
    <t>MONSTER ENERGY</t>
  </si>
  <si>
    <t>PULPY</t>
  </si>
  <si>
    <t>SCHWEPPES CHAPMAN CAN</t>
  </si>
  <si>
    <t>EVA WATER 75CL</t>
  </si>
  <si>
    <t>Other Concessions</t>
  </si>
  <si>
    <t>BBQ SAUCE</t>
  </si>
  <si>
    <t>KETCHUP</t>
  </si>
  <si>
    <t>DOUGHNUT</t>
  </si>
  <si>
    <t>MAYONNAISE</t>
  </si>
  <si>
    <t>MEAT PIE</t>
  </si>
  <si>
    <t>BURGER</t>
  </si>
  <si>
    <t>PARFAIT</t>
  </si>
  <si>
    <t>HOTDOG SAUSAGES</t>
  </si>
  <si>
    <t>SHAWARMA BREAD</t>
  </si>
  <si>
    <t>SHAWARMA SAUSAGES</t>
  </si>
  <si>
    <t>CONDENSED MILK</t>
  </si>
  <si>
    <t>SLICED CAKE</t>
  </si>
  <si>
    <t>SMALL CHOPS</t>
  </si>
  <si>
    <t>HOTDOG BREAD BUN</t>
  </si>
  <si>
    <t>CORN DOG</t>
  </si>
  <si>
    <t>Popcorn</t>
  </si>
  <si>
    <t>BUTTER (15KG)</t>
  </si>
  <si>
    <t>SALT</t>
  </si>
  <si>
    <t>SUGAR</t>
  </si>
  <si>
    <t>VEG. OIL</t>
  </si>
  <si>
    <t>Consumables</t>
  </si>
  <si>
    <t>FOIL</t>
  </si>
  <si>
    <t>PAPER PLATE</t>
  </si>
  <si>
    <t>RUBBER BAND</t>
  </si>
  <si>
    <t>SERVIETTE: WHITE</t>
  </si>
  <si>
    <t>STRAW</t>
  </si>
  <si>
    <t>TAKE AWAY BAGS</t>
  </si>
  <si>
    <t>Retail Tools</t>
  </si>
  <si>
    <t>BUTTER SCOOP</t>
  </si>
  <si>
    <t>HOTDOG TONG</t>
  </si>
  <si>
    <t>POPCORN BUCKET</t>
  </si>
  <si>
    <t>POPCORN SCOOP</t>
  </si>
  <si>
    <t xml:space="preserve">Cleaning Consumables </t>
  </si>
  <si>
    <t>AIR FRESHNER SPRAY</t>
  </si>
  <si>
    <t>AIRFRESHNER GEL</t>
  </si>
  <si>
    <t>BIN BAG (CARTON)</t>
  </si>
  <si>
    <t xml:space="preserve">SWEEPING BRUSH </t>
  </si>
  <si>
    <t>CAMPHOR</t>
  </si>
  <si>
    <t>COBWEBS BRUSH</t>
  </si>
  <si>
    <t>DETERGENT</t>
  </si>
  <si>
    <t>DETTOL ANTISEPTIC</t>
  </si>
  <si>
    <t>DISPENSER</t>
  </si>
  <si>
    <t>HAIR NET</t>
  </si>
  <si>
    <t>HAND TOWEL</t>
  </si>
  <si>
    <t>HAND WASH</t>
  </si>
  <si>
    <t>HARPIC</t>
  </si>
  <si>
    <t>HYPO 500ml</t>
  </si>
  <si>
    <t>HYPO 1ltr</t>
  </si>
  <si>
    <t>INSECTICIDES (SPRAY) 300ml</t>
  </si>
  <si>
    <t>INSECTICIDES (SPRAY) 500ml</t>
  </si>
  <si>
    <t>IRON SPONGE</t>
  </si>
  <si>
    <t>LIQUID SOAP</t>
  </si>
  <si>
    <t>MOP</t>
  </si>
  <si>
    <t>MOPPING/BRUSH STICK</t>
  </si>
  <si>
    <t>MOPPING BUCKET</t>
  </si>
  <si>
    <t>PARKER/SWEEPER</t>
  </si>
  <si>
    <t>WIG BRUSH</t>
  </si>
  <si>
    <t>COBWEBS STICK</t>
  </si>
  <si>
    <t>SCOURING POWDWER</t>
  </si>
  <si>
    <t>SPONGE</t>
  </si>
  <si>
    <t>SURFACE CLEANER</t>
  </si>
  <si>
    <t>TILE CLEANER</t>
  </si>
  <si>
    <t>TOILET BRUSH</t>
  </si>
  <si>
    <t>TOILET ROLL</t>
  </si>
  <si>
    <t>WASTE BIN</t>
  </si>
  <si>
    <t>WINDOLENE</t>
  </si>
  <si>
    <t>TILL ROLL</t>
  </si>
  <si>
    <t>DATE RANGE :18TH  - 23RD MAY.  2024</t>
  </si>
  <si>
    <t>RAW CORN</t>
  </si>
  <si>
    <t>SERVIETTE: WHITE (PIECES)</t>
  </si>
  <si>
    <t>DATE RANGE :26TH APRIL  - 16TH MAY.  2024</t>
  </si>
  <si>
    <t>SODA DRINKS (IN PIECES)</t>
  </si>
  <si>
    <t xml:space="preserve">MAYONNAISE </t>
  </si>
  <si>
    <t>SAUSAGES (PIECES)</t>
  </si>
  <si>
    <t xml:space="preserve">BIN BAG </t>
  </si>
  <si>
    <t>KINGREY YOGHURT</t>
  </si>
  <si>
    <t>TIGERNUT DRINK</t>
  </si>
  <si>
    <t>ZOBO DRINK</t>
  </si>
  <si>
    <t>BLACK BULLET</t>
  </si>
  <si>
    <t>PEAK YOGHURT</t>
  </si>
  <si>
    <t xml:space="preserve">POS ROLL </t>
  </si>
  <si>
    <t>THERMAL ROLL (IN PIECES}</t>
  </si>
  <si>
    <t>ISSUANCE</t>
  </si>
  <si>
    <t>TRANSFER</t>
  </si>
  <si>
    <t>CHAMDOR</t>
  </si>
  <si>
    <t>LAMOTHE PARROT</t>
  </si>
  <si>
    <t>CASTILO GRANDE</t>
  </si>
  <si>
    <t>PRINGLES</t>
  </si>
  <si>
    <t>SHORT BREAD</t>
  </si>
  <si>
    <t>BOUNTY</t>
  </si>
  <si>
    <t>bar drinks</t>
  </si>
  <si>
    <t>SIERRA TEQUILLA</t>
  </si>
  <si>
    <t>REGULAR PACKS</t>
  </si>
  <si>
    <t>MEDIUM PACKS</t>
  </si>
  <si>
    <t>LARGE PACKS</t>
  </si>
  <si>
    <t>BITTER LEMON JUICE</t>
  </si>
  <si>
    <t>PINEAPPLE JUICE</t>
  </si>
  <si>
    <t>ORANGE JUICE</t>
  </si>
  <si>
    <t>CRANBERRY JUICE</t>
  </si>
  <si>
    <t>VIRGIN MOJITO</t>
  </si>
  <si>
    <t>ABSOLUTE VODKA</t>
  </si>
  <si>
    <t>BLUE CURACAO</t>
  </si>
  <si>
    <t>CHOCOLATE SYRUP</t>
  </si>
  <si>
    <t>STRAWBERRY SYRUP</t>
  </si>
  <si>
    <t>DA MONTARE SPRAY</t>
  </si>
  <si>
    <t>WILLIAM LAWSON WHYSKY</t>
  </si>
  <si>
    <t>ALITA</t>
  </si>
  <si>
    <t>CARAMEL SYRUP</t>
  </si>
  <si>
    <t>GORDON'S GIN</t>
  </si>
  <si>
    <t>LORD'S GIN</t>
  </si>
  <si>
    <t>BACARDI WHITE</t>
  </si>
  <si>
    <t>MOJITO SYRUP</t>
  </si>
  <si>
    <t>VANILLA SYRUP</t>
  </si>
  <si>
    <t>PASSION SYRUP</t>
  </si>
  <si>
    <t>COCONUT SYRUP</t>
  </si>
  <si>
    <t>BEET ROOT</t>
  </si>
  <si>
    <t>SHIPMASTER RUM</t>
  </si>
  <si>
    <t>DATES</t>
  </si>
  <si>
    <t>PINEAPPLE FRUIT</t>
  </si>
  <si>
    <t>APPLE</t>
  </si>
  <si>
    <t>GROUNDNUT</t>
  </si>
  <si>
    <t>GINGER</t>
  </si>
  <si>
    <t>MALIBU SYRUP</t>
  </si>
  <si>
    <t>PEACH SCHNAPPS</t>
  </si>
  <si>
    <t>MARIE BRIZARD</t>
  </si>
  <si>
    <t>PRISKAIA VODKA</t>
  </si>
  <si>
    <t>GRAPES</t>
  </si>
  <si>
    <t>KABLUA COFFE</t>
  </si>
  <si>
    <t>RIBENNA</t>
  </si>
  <si>
    <t xml:space="preserve">GRENADINE </t>
  </si>
  <si>
    <t>SMOOTHIE</t>
  </si>
  <si>
    <t>BANANA FRUIT</t>
  </si>
  <si>
    <r>
      <rPr>
        <b/>
        <sz val="11"/>
        <color theme="1"/>
        <rFont val="Calibri"/>
        <family val="2"/>
        <scheme val="minor"/>
      </rPr>
      <t>AVOCADO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</si>
  <si>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BEUN AMIGO TEQUILLA</t>
    </r>
    <r>
      <rPr>
        <sz val="11"/>
        <color theme="1"/>
        <rFont val="Calibri"/>
        <family val="2"/>
        <scheme val="minor"/>
      </rPr>
      <t xml:space="preserve"> </t>
    </r>
  </si>
  <si>
    <t>VEGETABLE OIL</t>
  </si>
  <si>
    <t>LIME SEED</t>
  </si>
  <si>
    <t>ICE CREAM MIX</t>
  </si>
  <si>
    <t>CUBE WATER</t>
  </si>
  <si>
    <t>PORTIONED CHICKEN</t>
  </si>
  <si>
    <t>2 PACKS</t>
  </si>
  <si>
    <t>4 PACKS</t>
  </si>
  <si>
    <t>BEST CREAM</t>
  </si>
  <si>
    <t>BEST VODKA</t>
  </si>
  <si>
    <t>BITTERS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</si>
</sst>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wrapText="1"/>
    </xf>
    <xf numFmtId="0" fontId="5" fillId="0" borderId="0" xfId="0" applyFont="1"/>
    <xf numFmtId="0" fontId="3" fillId="2" borderId="0" xfId="0" applyFont="1" applyFill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43" fontId="6" fillId="0" borderId="1" xfId="1" applyFont="1" applyFill="1" applyBorder="1"/>
    <xf numFmtId="0" fontId="7" fillId="0" borderId="1" xfId="0" applyFont="1" applyBorder="1"/>
    <xf numFmtId="0" fontId="8" fillId="3" borderId="1" xfId="0" applyFont="1" applyFill="1" applyBorder="1" applyProtection="1">
      <protection locked="0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8" fillId="0" borderId="4" xfId="0" applyFon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1" xfId="0" applyBorder="1"/>
    <xf numFmtId="2" fontId="0" fillId="0" borderId="1" xfId="0" applyNumberFormat="1" applyBorder="1"/>
    <xf numFmtId="0" fontId="0" fillId="0" borderId="2" xfId="0" applyBorder="1"/>
    <xf numFmtId="0" fontId="0" fillId="0" borderId="5" xfId="0" applyBorder="1" applyProtection="1">
      <protection locked="0"/>
    </xf>
    <xf numFmtId="0" fontId="7" fillId="0" borderId="4" xfId="0" applyFont="1" applyBorder="1"/>
    <xf numFmtId="43" fontId="0" fillId="0" borderId="1" xfId="1" applyFont="1" applyFill="1" applyBorder="1"/>
    <xf numFmtId="0" fontId="0" fillId="0" borderId="6" xfId="0" applyBorder="1" applyProtection="1"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0" fillId="0" borderId="7" xfId="0" applyBorder="1" applyProtection="1">
      <protection locked="0"/>
    </xf>
    <xf numFmtId="0" fontId="8" fillId="3" borderId="4" xfId="0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0" fillId="3" borderId="3" xfId="0" applyFill="1" applyBorder="1" applyProtection="1">
      <protection locked="0"/>
    </xf>
    <xf numFmtId="0" fontId="0" fillId="3" borderId="1" xfId="0" applyFill="1" applyBorder="1" applyProtection="1">
      <protection locked="0"/>
    </xf>
    <xf numFmtId="43" fontId="10" fillId="0" borderId="1" xfId="1" applyFont="1" applyFill="1" applyBorder="1"/>
    <xf numFmtId="43" fontId="0" fillId="0" borderId="2" xfId="0" applyNumberFormat="1" applyBorder="1"/>
    <xf numFmtId="0" fontId="11" fillId="0" borderId="1" xfId="0" applyFont="1" applyBorder="1"/>
    <xf numFmtId="0" fontId="7" fillId="3" borderId="8" xfId="0" applyFont="1" applyFill="1" applyBorder="1"/>
    <xf numFmtId="43" fontId="0" fillId="3" borderId="1" xfId="1" applyFont="1" applyFill="1" applyBorder="1"/>
    <xf numFmtId="0" fontId="7" fillId="0" borderId="9" xfId="0" applyFont="1" applyBorder="1"/>
    <xf numFmtId="0" fontId="12" fillId="0" borderId="1" xfId="0" applyFont="1" applyBorder="1"/>
    <xf numFmtId="0" fontId="2" fillId="0" borderId="1" xfId="0" applyFont="1" applyBorder="1" applyProtection="1">
      <protection locked="0"/>
    </xf>
    <xf numFmtId="0" fontId="2" fillId="0" borderId="0" xfId="0" applyFont="1"/>
    <xf numFmtId="0" fontId="7" fillId="4" borderId="9" xfId="0" applyFont="1" applyFill="1" applyBorder="1" applyAlignment="1">
      <alignment vertical="center" wrapText="1"/>
    </xf>
    <xf numFmtId="0" fontId="3" fillId="4" borderId="1" xfId="0" applyFont="1" applyFill="1" applyBorder="1" applyAlignment="1" applyProtection="1">
      <alignment horizontal="left" wrapText="1"/>
      <protection locked="0"/>
    </xf>
    <xf numFmtId="0" fontId="7" fillId="3" borderId="9" xfId="0" applyFont="1" applyFill="1" applyBorder="1"/>
    <xf numFmtId="43" fontId="10" fillId="3" borderId="1" xfId="1" applyFont="1" applyFill="1" applyBorder="1"/>
    <xf numFmtId="0" fontId="7" fillId="0" borderId="10" xfId="0" applyFont="1" applyBorder="1"/>
    <xf numFmtId="0" fontId="0" fillId="4" borderId="1" xfId="0" applyFill="1" applyBorder="1" applyProtection="1">
      <protection locked="0"/>
    </xf>
    <xf numFmtId="0" fontId="7" fillId="3" borderId="4" xfId="0" applyFont="1" applyFill="1" applyBorder="1"/>
    <xf numFmtId="0" fontId="7" fillId="0" borderId="11" xfId="0" applyFont="1" applyBorder="1"/>
    <xf numFmtId="0" fontId="0" fillId="4" borderId="1" xfId="0" applyFill="1" applyBorder="1"/>
    <xf numFmtId="43" fontId="10" fillId="4" borderId="1" xfId="1" applyFont="1" applyFill="1" applyBorder="1"/>
    <xf numFmtId="0" fontId="0" fillId="4" borderId="2" xfId="0" applyFill="1" applyBorder="1"/>
    <xf numFmtId="0" fontId="7" fillId="0" borderId="12" xfId="0" applyFont="1" applyBorder="1"/>
    <xf numFmtId="0" fontId="0" fillId="0" borderId="0" xfId="0" applyProtection="1">
      <protection locked="0"/>
    </xf>
    <xf numFmtId="0" fontId="3" fillId="3" borderId="0" xfId="0" applyFont="1" applyFill="1"/>
    <xf numFmtId="0" fontId="0" fillId="3" borderId="13" xfId="0" applyFill="1" applyBorder="1" applyProtection="1">
      <protection locked="0"/>
    </xf>
    <xf numFmtId="0" fontId="0" fillId="3" borderId="0" xfId="0" applyFill="1"/>
    <xf numFmtId="0" fontId="7" fillId="0" borderId="0" xfId="0" applyFont="1"/>
  </cellXfs>
  <cellStyles count="2">
    <cellStyle name="Comma" xfId="1" builtinId="3"/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0370-1759-4198-A84C-25B99D829736}">
  <dimension ref="A1:O129"/>
  <sheetViews>
    <sheetView tabSelected="1" topLeftCell="A56" workbookViewId="0">
      <selection activeCell="D79" sqref="D79"/>
    </sheetView>
  </sheetViews>
  <sheetFormatPr defaultRowHeight="15" x14ac:dyDescent="0.25"/>
  <cols>
    <col min="1" max="1" width="34.140625" customWidth="1"/>
    <col min="2" max="2" width="14.28515625" customWidth="1"/>
    <col min="3" max="5" width="13.28515625" customWidth="1"/>
    <col min="8" max="8" width="12.85546875" customWidth="1"/>
    <col min="9" max="9" width="15.5703125" customWidth="1"/>
    <col min="10" max="10" width="10.28515625" customWidth="1"/>
    <col min="11" max="11" width="10" customWidth="1"/>
    <col min="12" max="12" width="15" customWidth="1"/>
    <col min="13" max="13" width="19.28515625" customWidth="1"/>
  </cols>
  <sheetData>
    <row r="1" spans="1:13" x14ac:dyDescent="0.25">
      <c r="A1" s="1" t="s">
        <v>0</v>
      </c>
    </row>
    <row r="2" spans="1:13" ht="15" customHeight="1" x14ac:dyDescent="0.25">
      <c r="A2" s="2" t="s">
        <v>101</v>
      </c>
    </row>
    <row r="3" spans="1:13" ht="18.75" x14ac:dyDescent="0.3">
      <c r="A3" s="3"/>
      <c r="I3" s="4"/>
    </row>
    <row r="4" spans="1:13" x14ac:dyDescent="0.25">
      <c r="A4" s="5" t="s">
        <v>3</v>
      </c>
      <c r="B4" s="5" t="s">
        <v>5</v>
      </c>
      <c r="C4" s="5" t="s">
        <v>4</v>
      </c>
      <c r="D4" s="5" t="s">
        <v>113</v>
      </c>
      <c r="E4" s="5" t="s">
        <v>114</v>
      </c>
      <c r="F4" s="5" t="s">
        <v>6</v>
      </c>
      <c r="G4" s="5" t="s">
        <v>7</v>
      </c>
      <c r="H4" s="6" t="s">
        <v>9</v>
      </c>
      <c r="I4" s="7" t="s">
        <v>10</v>
      </c>
      <c r="J4" s="5" t="s">
        <v>11</v>
      </c>
      <c r="K4" s="8" t="s">
        <v>12</v>
      </c>
      <c r="L4" s="6" t="s">
        <v>13</v>
      </c>
      <c r="M4" s="9" t="s">
        <v>14</v>
      </c>
    </row>
    <row r="5" spans="1:13" x14ac:dyDescent="0.25">
      <c r="A5" s="10" t="s">
        <v>15</v>
      </c>
      <c r="B5" s="11"/>
      <c r="C5" s="11"/>
      <c r="D5" s="11"/>
      <c r="E5" s="11"/>
      <c r="F5" s="11"/>
      <c r="G5" s="11"/>
      <c r="H5" s="12"/>
      <c r="I5" s="13"/>
      <c r="J5" s="11"/>
      <c r="K5" s="11"/>
      <c r="L5" s="11"/>
      <c r="M5" s="11"/>
    </row>
    <row r="6" spans="1:13" x14ac:dyDescent="0.25">
      <c r="A6" s="14" t="s">
        <v>16</v>
      </c>
      <c r="B6" s="15"/>
      <c r="C6" s="16"/>
      <c r="D6" s="16">
        <v>15</v>
      </c>
      <c r="E6" s="16"/>
      <c r="F6" s="17"/>
      <c r="G6" s="17"/>
      <c r="H6" s="17"/>
      <c r="I6" s="15"/>
      <c r="J6" s="17"/>
      <c r="K6" s="18"/>
      <c r="L6" s="19"/>
      <c r="M6" s="15"/>
    </row>
    <row r="7" spans="1:13" x14ac:dyDescent="0.25">
      <c r="A7" s="14" t="s">
        <v>117</v>
      </c>
      <c r="B7" s="15"/>
      <c r="C7" s="16">
        <v>5</v>
      </c>
      <c r="D7" s="16"/>
      <c r="E7" s="16"/>
      <c r="F7" s="17"/>
      <c r="G7" s="17"/>
      <c r="H7" s="17"/>
      <c r="I7" s="15"/>
      <c r="J7" s="17"/>
      <c r="K7" s="18"/>
      <c r="L7" s="19"/>
      <c r="M7" s="20"/>
    </row>
    <row r="8" spans="1:13" x14ac:dyDescent="0.25">
      <c r="A8" s="14" t="s">
        <v>116</v>
      </c>
      <c r="B8" s="15"/>
      <c r="C8" s="16">
        <v>2</v>
      </c>
      <c r="D8" s="16"/>
      <c r="E8" s="16"/>
      <c r="F8" s="17"/>
      <c r="G8" s="17"/>
      <c r="H8" s="17"/>
      <c r="I8" s="15"/>
      <c r="J8" s="17"/>
      <c r="K8" s="18"/>
      <c r="L8" s="19"/>
      <c r="M8" s="20"/>
    </row>
    <row r="9" spans="1:13" x14ac:dyDescent="0.25">
      <c r="A9" s="14" t="s">
        <v>115</v>
      </c>
      <c r="B9" s="15"/>
      <c r="C9" s="16">
        <v>1</v>
      </c>
      <c r="D9" s="16"/>
      <c r="E9" s="16"/>
      <c r="F9" s="17"/>
      <c r="G9" s="17"/>
      <c r="H9" s="17"/>
      <c r="I9" s="15"/>
      <c r="J9" s="17"/>
      <c r="K9" s="18"/>
      <c r="L9" s="19"/>
      <c r="M9" s="20"/>
    </row>
    <row r="10" spans="1:13" x14ac:dyDescent="0.25">
      <c r="A10" s="14" t="s">
        <v>168</v>
      </c>
      <c r="B10" s="15"/>
      <c r="C10" s="16">
        <v>7</v>
      </c>
      <c r="D10" s="16">
        <v>24</v>
      </c>
      <c r="E10" s="16"/>
      <c r="F10" s="17">
        <v>10</v>
      </c>
      <c r="G10" s="17"/>
      <c r="H10" s="17">
        <v>21</v>
      </c>
      <c r="I10" s="15">
        <v>10</v>
      </c>
      <c r="J10" s="17"/>
      <c r="K10" s="18"/>
      <c r="L10" s="19"/>
      <c r="M10" s="20"/>
    </row>
    <row r="11" spans="1:13" x14ac:dyDescent="0.25">
      <c r="A11" s="14" t="s">
        <v>17</v>
      </c>
      <c r="B11" s="15"/>
      <c r="C11" s="16">
        <v>18</v>
      </c>
      <c r="D11" s="16">
        <v>24</v>
      </c>
      <c r="E11" s="16"/>
      <c r="F11" s="17">
        <v>12</v>
      </c>
      <c r="G11" s="17"/>
      <c r="H11" s="17">
        <v>30</v>
      </c>
      <c r="I11" s="15">
        <v>30</v>
      </c>
      <c r="J11" s="17"/>
      <c r="K11" s="18"/>
      <c r="L11" s="19"/>
      <c r="M11" s="20"/>
    </row>
    <row r="12" spans="1:13" x14ac:dyDescent="0.25">
      <c r="A12" s="21" t="s">
        <v>111</v>
      </c>
      <c r="B12" s="15"/>
      <c r="C12" s="16">
        <v>24</v>
      </c>
      <c r="D12" s="16"/>
      <c r="E12" s="16"/>
      <c r="F12" s="17"/>
      <c r="G12" s="17"/>
      <c r="H12" s="17"/>
      <c r="I12" s="15"/>
      <c r="J12" s="17"/>
      <c r="K12" s="22"/>
      <c r="L12" s="19"/>
      <c r="M12" s="23"/>
    </row>
    <row r="13" spans="1:13" x14ac:dyDescent="0.25">
      <c r="A13" s="21" t="s">
        <v>125</v>
      </c>
      <c r="B13" s="15"/>
      <c r="C13" s="16">
        <v>1283</v>
      </c>
      <c r="D13" s="16">
        <v>60</v>
      </c>
      <c r="E13" s="16"/>
      <c r="F13" s="17">
        <v>32</v>
      </c>
      <c r="G13" s="17"/>
      <c r="H13" s="17">
        <v>28</v>
      </c>
      <c r="I13" s="15">
        <v>1251</v>
      </c>
      <c r="J13" s="17"/>
      <c r="K13" s="22"/>
      <c r="L13" s="19"/>
      <c r="M13" s="24"/>
    </row>
    <row r="14" spans="1:13" x14ac:dyDescent="0.25">
      <c r="A14" s="21" t="s">
        <v>124</v>
      </c>
      <c r="B14" s="15"/>
      <c r="C14" s="16">
        <v>738</v>
      </c>
      <c r="D14" s="16">
        <v>65</v>
      </c>
      <c r="E14" s="16"/>
      <c r="F14" s="17">
        <v>45</v>
      </c>
      <c r="G14" s="17"/>
      <c r="H14" s="17">
        <v>20</v>
      </c>
      <c r="I14" s="15">
        <v>693</v>
      </c>
      <c r="J14" s="17"/>
      <c r="K14" s="22"/>
      <c r="L14" s="19"/>
      <c r="M14" s="25"/>
    </row>
    <row r="15" spans="1:13" x14ac:dyDescent="0.25">
      <c r="A15" s="21" t="s">
        <v>123</v>
      </c>
      <c r="B15" s="15"/>
      <c r="C15" s="16">
        <v>971</v>
      </c>
      <c r="D15" s="16">
        <v>60</v>
      </c>
      <c r="E15" s="16"/>
      <c r="F15" s="17">
        <v>41</v>
      </c>
      <c r="G15" s="17"/>
      <c r="H15" s="17">
        <v>19</v>
      </c>
      <c r="I15" s="15">
        <v>930</v>
      </c>
      <c r="J15" s="17"/>
      <c r="K15" s="22"/>
      <c r="L15" s="19"/>
      <c r="M15" s="15"/>
    </row>
    <row r="16" spans="1:13" x14ac:dyDescent="0.25">
      <c r="A16" s="21" t="s">
        <v>112</v>
      </c>
      <c r="B16" s="26"/>
      <c r="C16" s="16">
        <v>5</v>
      </c>
      <c r="D16" s="16"/>
      <c r="E16" s="16"/>
      <c r="F16" s="17"/>
      <c r="G16" s="17"/>
      <c r="H16" s="17"/>
      <c r="I16" s="26"/>
      <c r="J16" s="17"/>
      <c r="K16" s="22"/>
      <c r="L16" s="19"/>
      <c r="M16" s="15"/>
    </row>
    <row r="17" spans="1:15" x14ac:dyDescent="0.25">
      <c r="A17" s="27" t="s">
        <v>24</v>
      </c>
      <c r="B17" s="28"/>
      <c r="C17" s="29"/>
      <c r="D17" s="29"/>
      <c r="E17" s="29"/>
      <c r="F17" s="11"/>
      <c r="G17" s="11"/>
      <c r="H17" s="11"/>
      <c r="I17" s="28"/>
      <c r="J17" s="11"/>
      <c r="K17" s="11"/>
      <c r="L17" s="11"/>
      <c r="M17" s="15"/>
    </row>
    <row r="18" spans="1:15" x14ac:dyDescent="0.25">
      <c r="A18" s="21" t="s">
        <v>102</v>
      </c>
      <c r="B18" s="15"/>
      <c r="C18" s="16">
        <v>391</v>
      </c>
      <c r="D18" s="16">
        <v>294</v>
      </c>
      <c r="E18" s="16"/>
      <c r="F18" s="17">
        <v>59</v>
      </c>
      <c r="G18" s="17"/>
      <c r="H18" s="17">
        <v>235</v>
      </c>
      <c r="I18" s="15">
        <v>308</v>
      </c>
      <c r="J18" s="17"/>
      <c r="K18" s="31"/>
      <c r="L18" s="32"/>
      <c r="M18" s="33"/>
    </row>
    <row r="19" spans="1:15" x14ac:dyDescent="0.25">
      <c r="A19" s="21" t="s">
        <v>26</v>
      </c>
      <c r="B19" s="15"/>
      <c r="C19" s="16">
        <v>4</v>
      </c>
      <c r="D19" s="16">
        <v>4</v>
      </c>
      <c r="E19" s="16"/>
      <c r="F19" s="17">
        <v>0</v>
      </c>
      <c r="G19" s="17"/>
      <c r="H19" s="17">
        <v>4</v>
      </c>
      <c r="I19" s="15">
        <v>4</v>
      </c>
      <c r="J19" s="17"/>
      <c r="K19" s="22"/>
      <c r="L19" s="19"/>
      <c r="M19" s="15"/>
    </row>
    <row r="20" spans="1:15" x14ac:dyDescent="0.25">
      <c r="A20" s="21" t="s">
        <v>28</v>
      </c>
      <c r="B20" s="15"/>
      <c r="C20" s="16"/>
      <c r="D20" s="16"/>
      <c r="E20" s="16"/>
      <c r="F20" s="17"/>
      <c r="G20" s="17"/>
      <c r="H20" s="17"/>
      <c r="I20" s="15"/>
      <c r="J20" s="17"/>
      <c r="K20" s="22"/>
      <c r="L20" s="19"/>
      <c r="M20" s="33"/>
    </row>
    <row r="21" spans="1:15" x14ac:dyDescent="0.25">
      <c r="A21" s="21" t="s">
        <v>109</v>
      </c>
      <c r="B21" s="15"/>
      <c r="C21" s="16"/>
      <c r="D21" s="16"/>
      <c r="E21" s="16"/>
      <c r="F21" s="17"/>
      <c r="G21" s="17"/>
      <c r="H21" s="17"/>
      <c r="I21" s="15"/>
      <c r="J21" s="17"/>
      <c r="K21" s="22"/>
      <c r="L21" s="19"/>
      <c r="M21" s="33"/>
    </row>
    <row r="22" spans="1:15" x14ac:dyDescent="0.25">
      <c r="A22" s="21" t="s">
        <v>29</v>
      </c>
      <c r="B22" s="15"/>
      <c r="C22" s="16">
        <v>1314</v>
      </c>
      <c r="D22" s="16">
        <v>134</v>
      </c>
      <c r="E22" s="16"/>
      <c r="F22" s="17">
        <v>94</v>
      </c>
      <c r="G22" s="17">
        <v>3</v>
      </c>
      <c r="H22" s="17">
        <v>40</v>
      </c>
      <c r="I22" s="15">
        <v>1193</v>
      </c>
      <c r="J22" s="17">
        <v>-3</v>
      </c>
      <c r="K22" s="22"/>
      <c r="L22" s="19"/>
      <c r="M22" s="33"/>
    </row>
    <row r="23" spans="1:15" x14ac:dyDescent="0.25">
      <c r="A23" s="34" t="s">
        <v>30</v>
      </c>
      <c r="B23" s="30"/>
      <c r="C23" s="29"/>
      <c r="D23" s="29"/>
      <c r="E23" s="29"/>
      <c r="F23" s="11"/>
      <c r="G23" s="11"/>
      <c r="H23" s="11"/>
      <c r="I23" s="30"/>
      <c r="J23" s="11"/>
      <c r="K23" s="35"/>
      <c r="L23" s="12"/>
      <c r="M23" s="15"/>
    </row>
    <row r="24" spans="1:15" x14ac:dyDescent="0.25">
      <c r="A24" s="36" t="s">
        <v>31</v>
      </c>
      <c r="B24" s="15"/>
      <c r="C24" s="16"/>
      <c r="D24" s="16"/>
      <c r="E24" s="16"/>
      <c r="F24" s="17"/>
      <c r="G24" s="17"/>
      <c r="H24" s="17"/>
      <c r="I24" s="15"/>
      <c r="J24" s="17"/>
      <c r="K24" s="22"/>
      <c r="L24" s="19"/>
      <c r="M24" s="15"/>
    </row>
    <row r="25" spans="1:15" x14ac:dyDescent="0.25">
      <c r="A25" s="36" t="s">
        <v>32</v>
      </c>
      <c r="B25" s="15"/>
      <c r="C25" s="16"/>
      <c r="D25" s="16"/>
      <c r="E25" s="16"/>
      <c r="F25" s="17"/>
      <c r="G25" s="17"/>
      <c r="H25" s="17"/>
      <c r="I25" s="15"/>
      <c r="J25" s="17"/>
      <c r="K25" s="31"/>
      <c r="L25" s="19"/>
      <c r="M25" s="15"/>
    </row>
    <row r="26" spans="1:15" x14ac:dyDescent="0.25">
      <c r="A26" s="36" t="s">
        <v>120</v>
      </c>
      <c r="B26" s="15"/>
      <c r="C26" s="16"/>
      <c r="D26" s="16"/>
      <c r="E26" s="16"/>
      <c r="F26" s="17"/>
      <c r="G26" s="17"/>
      <c r="H26" s="17"/>
      <c r="I26" s="15"/>
      <c r="J26" s="17"/>
      <c r="K26" s="31"/>
      <c r="L26" s="19"/>
      <c r="M26" s="15"/>
    </row>
    <row r="27" spans="1:15" x14ac:dyDescent="0.25">
      <c r="A27" s="36" t="s">
        <v>119</v>
      </c>
      <c r="B27" s="15"/>
      <c r="C27" s="16">
        <v>11</v>
      </c>
      <c r="D27" s="16"/>
      <c r="E27" s="16"/>
      <c r="F27" s="17"/>
      <c r="G27" s="17"/>
      <c r="H27" s="17"/>
      <c r="I27" s="15"/>
      <c r="J27" s="17"/>
      <c r="K27" s="31"/>
      <c r="L27" s="19"/>
      <c r="M27" s="15"/>
    </row>
    <row r="28" spans="1:15" x14ac:dyDescent="0.25">
      <c r="A28" s="36" t="s">
        <v>118</v>
      </c>
      <c r="B28" s="15"/>
      <c r="C28" s="16">
        <v>7</v>
      </c>
      <c r="D28" s="16"/>
      <c r="E28" s="16"/>
      <c r="F28" s="17"/>
      <c r="G28" s="17"/>
      <c r="H28" s="17"/>
      <c r="I28" s="15"/>
      <c r="J28" s="17"/>
      <c r="K28" s="31"/>
      <c r="L28" s="19"/>
      <c r="M28" s="15"/>
    </row>
    <row r="29" spans="1:15" x14ac:dyDescent="0.25">
      <c r="A29" s="36" t="s">
        <v>103</v>
      </c>
      <c r="B29" s="15"/>
      <c r="C29" s="16">
        <v>4</v>
      </c>
      <c r="D29" s="16"/>
      <c r="E29" s="16"/>
      <c r="F29" s="17"/>
      <c r="G29" s="17"/>
      <c r="H29" s="17"/>
      <c r="I29" s="15"/>
      <c r="J29" s="17"/>
      <c r="K29" s="22"/>
      <c r="L29" s="19"/>
      <c r="M29" s="15"/>
    </row>
    <row r="30" spans="1:15" x14ac:dyDescent="0.25">
      <c r="A30" s="36" t="s">
        <v>35</v>
      </c>
      <c r="B30" s="15">
        <v>49</v>
      </c>
      <c r="C30" s="16">
        <v>3</v>
      </c>
      <c r="D30" s="16"/>
      <c r="E30" s="16"/>
      <c r="F30" s="17"/>
      <c r="G30" s="17"/>
      <c r="H30" s="17"/>
      <c r="I30" s="15"/>
      <c r="J30" s="17"/>
      <c r="K30" s="22"/>
      <c r="L30" s="19"/>
      <c r="M30" s="37"/>
    </row>
    <row r="31" spans="1:15" x14ac:dyDescent="0.25">
      <c r="A31" s="36" t="s">
        <v>37</v>
      </c>
      <c r="B31" s="15">
        <v>28</v>
      </c>
      <c r="C31" s="16">
        <v>1</v>
      </c>
      <c r="D31" s="16"/>
      <c r="E31" s="16"/>
      <c r="F31" s="17"/>
      <c r="G31" s="17"/>
      <c r="H31" s="17"/>
      <c r="I31" s="15"/>
      <c r="J31" s="17"/>
      <c r="K31" s="31"/>
      <c r="L31" s="19"/>
      <c r="M31" s="33"/>
    </row>
    <row r="32" spans="1:15" ht="18" customHeight="1" x14ac:dyDescent="0.25">
      <c r="A32" s="40" t="s">
        <v>39</v>
      </c>
      <c r="B32" s="15"/>
      <c r="C32" s="16">
        <v>28</v>
      </c>
      <c r="D32" s="16">
        <v>18</v>
      </c>
      <c r="E32" s="16"/>
      <c r="F32" s="17">
        <v>7</v>
      </c>
      <c r="G32" s="17"/>
      <c r="H32" s="17">
        <v>11</v>
      </c>
      <c r="I32" s="15">
        <v>21</v>
      </c>
      <c r="J32" s="17"/>
      <c r="K32" s="31"/>
      <c r="L32" s="19"/>
      <c r="M32" s="38"/>
      <c r="N32" s="39"/>
      <c r="O32" s="39"/>
    </row>
    <row r="33" spans="1:15" ht="18" customHeight="1" x14ac:dyDescent="0.25">
      <c r="A33" s="40" t="s">
        <v>169</v>
      </c>
      <c r="B33" s="15"/>
      <c r="C33" s="16">
        <v>41</v>
      </c>
      <c r="D33" s="16">
        <v>23</v>
      </c>
      <c r="E33" s="16"/>
      <c r="F33" s="17">
        <v>7</v>
      </c>
      <c r="G33" s="17"/>
      <c r="H33" s="17">
        <v>16</v>
      </c>
      <c r="I33" s="15">
        <v>34</v>
      </c>
      <c r="J33" s="17"/>
      <c r="K33" s="31"/>
      <c r="L33" s="19"/>
      <c r="M33" s="38"/>
      <c r="N33" s="39"/>
      <c r="O33" s="39"/>
    </row>
    <row r="34" spans="1:15" x14ac:dyDescent="0.25">
      <c r="A34" s="40" t="s">
        <v>104</v>
      </c>
      <c r="B34" s="15"/>
      <c r="C34" s="16">
        <v>216</v>
      </c>
      <c r="D34" s="16">
        <v>32</v>
      </c>
      <c r="E34" s="16"/>
      <c r="F34" s="17">
        <v>14</v>
      </c>
      <c r="G34" s="17"/>
      <c r="H34" s="17">
        <v>18</v>
      </c>
      <c r="I34" s="15">
        <v>200</v>
      </c>
      <c r="J34" s="17">
        <v>-2</v>
      </c>
      <c r="K34" s="31"/>
      <c r="L34" s="19"/>
      <c r="M34" s="38"/>
      <c r="N34" s="39"/>
      <c r="O34" s="39"/>
    </row>
    <row r="35" spans="1:15" ht="16.5" customHeight="1" x14ac:dyDescent="0.25">
      <c r="A35" s="40" t="s">
        <v>41</v>
      </c>
      <c r="B35" s="15"/>
      <c r="C35" s="16"/>
      <c r="D35" s="16"/>
      <c r="E35" s="16"/>
      <c r="F35" s="17"/>
      <c r="G35" s="17"/>
      <c r="H35" s="17"/>
      <c r="I35" s="15"/>
      <c r="J35" s="17"/>
      <c r="K35" s="31"/>
      <c r="L35" s="19"/>
      <c r="M35" s="15"/>
    </row>
    <row r="36" spans="1:15" x14ac:dyDescent="0.25">
      <c r="A36" s="36" t="s">
        <v>42</v>
      </c>
      <c r="B36" s="15"/>
      <c r="C36" s="16"/>
      <c r="D36" s="16"/>
      <c r="E36" s="16"/>
      <c r="F36" s="17"/>
      <c r="G36" s="17"/>
      <c r="H36" s="17"/>
      <c r="I36" s="15"/>
      <c r="J36" s="17"/>
      <c r="K36" s="31"/>
      <c r="L36" s="19"/>
      <c r="M36" s="15"/>
    </row>
    <row r="37" spans="1:15" x14ac:dyDescent="0.25">
      <c r="A37" s="36" t="s">
        <v>43</v>
      </c>
      <c r="B37" s="15">
        <v>35</v>
      </c>
      <c r="C37" s="16">
        <v>0</v>
      </c>
      <c r="D37" s="16">
        <v>35</v>
      </c>
      <c r="E37" s="16"/>
      <c r="F37" s="17">
        <v>29</v>
      </c>
      <c r="G37" s="17"/>
      <c r="H37" s="17">
        <v>8</v>
      </c>
      <c r="I37" s="15">
        <v>8</v>
      </c>
      <c r="J37" s="17"/>
      <c r="K37" s="31"/>
      <c r="L37" s="19"/>
      <c r="M37" s="41"/>
    </row>
    <row r="38" spans="1:15" x14ac:dyDescent="0.25">
      <c r="A38" s="36" t="s">
        <v>110</v>
      </c>
      <c r="B38" s="15"/>
      <c r="C38" s="16">
        <v>39</v>
      </c>
      <c r="D38" s="16"/>
      <c r="E38" s="16"/>
      <c r="F38" s="17"/>
      <c r="G38" s="17"/>
      <c r="H38" s="17"/>
      <c r="I38" s="15"/>
      <c r="J38" s="17"/>
      <c r="K38" s="31"/>
      <c r="L38" s="19"/>
      <c r="M38" s="41"/>
    </row>
    <row r="39" spans="1:15" x14ac:dyDescent="0.25">
      <c r="A39" s="36" t="s">
        <v>106</v>
      </c>
      <c r="B39" s="15"/>
      <c r="C39" s="16">
        <v>63</v>
      </c>
      <c r="D39" s="16">
        <v>30</v>
      </c>
      <c r="E39" s="16"/>
      <c r="F39" s="17">
        <v>10</v>
      </c>
      <c r="G39" s="17"/>
      <c r="H39" s="17">
        <v>21</v>
      </c>
      <c r="I39" s="15">
        <v>54</v>
      </c>
      <c r="J39" s="17"/>
      <c r="K39" s="31"/>
      <c r="L39" s="19"/>
      <c r="M39" s="41"/>
    </row>
    <row r="40" spans="1:15" x14ac:dyDescent="0.25">
      <c r="A40" s="36" t="s">
        <v>107</v>
      </c>
      <c r="B40" s="15">
        <v>10</v>
      </c>
      <c r="C40" s="16">
        <v>4</v>
      </c>
      <c r="D40" s="16">
        <v>4</v>
      </c>
      <c r="E40" s="16"/>
      <c r="F40" s="17">
        <v>3</v>
      </c>
      <c r="G40" s="17"/>
      <c r="H40" s="17">
        <v>1</v>
      </c>
      <c r="I40" s="15">
        <v>12</v>
      </c>
      <c r="J40" s="17"/>
      <c r="K40" s="31"/>
      <c r="L40" s="19"/>
      <c r="M40" s="41"/>
    </row>
    <row r="41" spans="1:15" x14ac:dyDescent="0.25">
      <c r="A41" s="36" t="s">
        <v>108</v>
      </c>
      <c r="B41" s="15">
        <v>6</v>
      </c>
      <c r="C41" s="16">
        <v>3</v>
      </c>
      <c r="D41" s="16">
        <v>7</v>
      </c>
      <c r="E41" s="16"/>
      <c r="F41" s="17">
        <v>3</v>
      </c>
      <c r="G41" s="17"/>
      <c r="H41" s="17">
        <v>4</v>
      </c>
      <c r="I41" s="15">
        <v>6</v>
      </c>
      <c r="J41" s="17"/>
      <c r="K41" s="31"/>
      <c r="L41" s="19"/>
      <c r="M41" s="41"/>
    </row>
    <row r="42" spans="1:15" ht="13.5" customHeight="1" x14ac:dyDescent="0.25">
      <c r="A42" s="36" t="s">
        <v>44</v>
      </c>
      <c r="B42" s="15"/>
      <c r="C42" s="16"/>
      <c r="D42" s="16"/>
      <c r="E42" s="16"/>
      <c r="F42" s="17"/>
      <c r="G42" s="17"/>
      <c r="H42" s="17"/>
      <c r="I42" s="15"/>
      <c r="J42" s="17"/>
      <c r="K42" s="31"/>
      <c r="L42" s="19"/>
      <c r="M42" s="15"/>
    </row>
    <row r="43" spans="1:15" x14ac:dyDescent="0.25">
      <c r="A43" s="42" t="s">
        <v>46</v>
      </c>
      <c r="B43" s="30"/>
      <c r="C43" s="29"/>
      <c r="D43" s="29"/>
      <c r="E43" s="29"/>
      <c r="F43" s="11"/>
      <c r="G43" s="11"/>
      <c r="H43" s="11"/>
      <c r="I43" s="30"/>
      <c r="J43" s="11"/>
      <c r="K43" s="43"/>
      <c r="L43" s="12"/>
      <c r="M43" s="15"/>
    </row>
    <row r="44" spans="1:15" x14ac:dyDescent="0.25">
      <c r="A44" s="44" t="s">
        <v>47</v>
      </c>
      <c r="B44" s="15"/>
      <c r="C44" s="16"/>
      <c r="D44" s="16"/>
      <c r="E44" s="16"/>
      <c r="F44" s="17"/>
      <c r="G44" s="17"/>
      <c r="H44" s="17"/>
      <c r="I44" s="15"/>
      <c r="J44" s="17"/>
      <c r="K44" s="31"/>
      <c r="L44" s="19"/>
      <c r="M44" s="15"/>
    </row>
    <row r="45" spans="1:15" x14ac:dyDescent="0.25">
      <c r="A45" s="21" t="s">
        <v>99</v>
      </c>
      <c r="B45" s="15"/>
      <c r="C45" s="16">
        <v>1</v>
      </c>
      <c r="D45" s="16">
        <v>1</v>
      </c>
      <c r="E45" s="16"/>
      <c r="F45" s="17"/>
      <c r="G45" s="17"/>
      <c r="H45" s="17"/>
      <c r="I45" s="15"/>
      <c r="J45" s="17"/>
      <c r="K45" s="31"/>
      <c r="L45" s="19"/>
      <c r="M45" s="15"/>
    </row>
    <row r="46" spans="1:15" x14ac:dyDescent="0.25">
      <c r="A46" s="21" t="s">
        <v>48</v>
      </c>
      <c r="B46" s="15"/>
      <c r="C46" s="16"/>
      <c r="D46" s="16"/>
      <c r="E46" s="16"/>
      <c r="F46" s="17"/>
      <c r="G46" s="17"/>
      <c r="H46" s="17"/>
      <c r="I46" s="15"/>
      <c r="J46" s="17"/>
      <c r="K46" s="31"/>
      <c r="L46" s="19"/>
      <c r="M46" s="15"/>
    </row>
    <row r="47" spans="1:15" x14ac:dyDescent="0.25">
      <c r="A47" s="21" t="s">
        <v>49</v>
      </c>
      <c r="B47" s="15"/>
      <c r="C47" s="16"/>
      <c r="D47" s="16"/>
      <c r="E47" s="16"/>
      <c r="F47" s="17"/>
      <c r="G47" s="17"/>
      <c r="H47" s="17"/>
      <c r="I47" s="15"/>
      <c r="J47" s="17"/>
      <c r="K47" s="31"/>
      <c r="L47" s="19"/>
      <c r="M47" s="15"/>
    </row>
    <row r="48" spans="1:15" x14ac:dyDescent="0.25">
      <c r="A48" s="21" t="s">
        <v>165</v>
      </c>
      <c r="B48" s="15"/>
      <c r="C48" s="16"/>
      <c r="D48" s="16"/>
      <c r="E48" s="16"/>
      <c r="F48" s="17"/>
      <c r="G48" s="17"/>
      <c r="H48" s="17"/>
      <c r="I48" s="15"/>
      <c r="J48" s="17"/>
      <c r="K48" s="31"/>
      <c r="L48" s="19"/>
      <c r="M48" s="15"/>
    </row>
    <row r="49" spans="1:13" x14ac:dyDescent="0.25">
      <c r="A49" s="27" t="s">
        <v>51</v>
      </c>
      <c r="B49" s="30"/>
      <c r="C49" s="29"/>
      <c r="D49" s="29"/>
      <c r="E49" s="29"/>
      <c r="F49" s="11"/>
      <c r="G49" s="11"/>
      <c r="H49" s="11"/>
      <c r="I49" s="30"/>
      <c r="J49" s="11"/>
      <c r="K49" s="43"/>
      <c r="L49" s="12"/>
      <c r="M49" s="15"/>
    </row>
    <row r="50" spans="1:13" x14ac:dyDescent="0.25">
      <c r="A50" s="21" t="s">
        <v>52</v>
      </c>
      <c r="B50" s="15"/>
      <c r="C50" s="16"/>
      <c r="D50" s="16"/>
      <c r="E50" s="16"/>
      <c r="F50" s="17"/>
      <c r="G50" s="17"/>
      <c r="H50" s="17"/>
      <c r="I50" s="15"/>
      <c r="J50" s="17"/>
      <c r="K50" s="31"/>
      <c r="L50" s="19"/>
      <c r="M50" s="45"/>
    </row>
    <row r="51" spans="1:13" x14ac:dyDescent="0.25">
      <c r="A51" s="21" t="s">
        <v>54</v>
      </c>
      <c r="B51" s="15"/>
      <c r="C51" s="16">
        <v>2</v>
      </c>
      <c r="D51" s="16"/>
      <c r="E51" s="16"/>
      <c r="F51" s="17"/>
      <c r="G51" s="17"/>
      <c r="H51" s="17"/>
      <c r="I51" s="15"/>
      <c r="J51" s="17"/>
      <c r="K51" s="31"/>
      <c r="L51" s="19"/>
      <c r="M51" s="15"/>
    </row>
    <row r="52" spans="1:13" x14ac:dyDescent="0.25">
      <c r="A52" s="21" t="s">
        <v>100</v>
      </c>
      <c r="B52" s="15"/>
      <c r="C52" s="16">
        <v>88</v>
      </c>
      <c r="D52" s="16"/>
      <c r="E52" s="16"/>
      <c r="F52" s="17"/>
      <c r="G52" s="17"/>
      <c r="H52" s="17"/>
      <c r="I52" s="15"/>
      <c r="J52" s="17"/>
      <c r="K52" s="31"/>
      <c r="L52" s="19"/>
      <c r="M52" s="15"/>
    </row>
    <row r="53" spans="1:13" x14ac:dyDescent="0.25">
      <c r="A53" s="21" t="s">
        <v>56</v>
      </c>
      <c r="B53" s="15"/>
      <c r="C53" s="16"/>
      <c r="D53" s="16"/>
      <c r="E53" s="16"/>
      <c r="F53" s="17"/>
      <c r="G53" s="17"/>
      <c r="H53" s="17"/>
      <c r="I53" s="15"/>
      <c r="J53" s="17"/>
      <c r="K53" s="22"/>
      <c r="L53" s="19"/>
      <c r="M53" s="15"/>
    </row>
    <row r="54" spans="1:13" x14ac:dyDescent="0.25">
      <c r="A54" s="21" t="s">
        <v>57</v>
      </c>
      <c r="B54" s="15"/>
      <c r="C54" s="16">
        <v>200</v>
      </c>
      <c r="D54" s="16"/>
      <c r="E54" s="16"/>
      <c r="F54" s="17"/>
      <c r="G54" s="17"/>
      <c r="H54" s="17"/>
      <c r="I54" s="15"/>
      <c r="J54" s="17"/>
      <c r="K54" s="22"/>
      <c r="L54" s="19"/>
      <c r="M54" s="15"/>
    </row>
    <row r="55" spans="1:13" x14ac:dyDescent="0.25">
      <c r="A55" s="46" t="s">
        <v>58</v>
      </c>
      <c r="B55" s="30"/>
      <c r="C55" s="29"/>
      <c r="D55" s="29"/>
      <c r="E55" s="29"/>
      <c r="F55" s="11"/>
      <c r="G55" s="11"/>
      <c r="H55" s="11"/>
      <c r="I55" s="30"/>
      <c r="J55" s="11"/>
      <c r="K55" s="35"/>
      <c r="L55" s="12"/>
      <c r="M55" s="15"/>
    </row>
    <row r="56" spans="1:13" x14ac:dyDescent="0.25">
      <c r="A56" s="21" t="s">
        <v>61</v>
      </c>
      <c r="B56" s="15"/>
      <c r="C56" s="16"/>
      <c r="D56" s="16"/>
      <c r="E56" s="16"/>
      <c r="F56" s="17"/>
      <c r="G56" s="17"/>
      <c r="H56" s="17"/>
      <c r="I56" s="15"/>
      <c r="J56" s="17"/>
      <c r="K56" s="31"/>
      <c r="L56" s="19"/>
      <c r="M56" s="17"/>
    </row>
    <row r="57" spans="1:13" x14ac:dyDescent="0.25">
      <c r="A57" s="21" t="s">
        <v>62</v>
      </c>
      <c r="B57" s="15"/>
      <c r="C57" s="16"/>
      <c r="D57" s="16"/>
      <c r="E57" s="16"/>
      <c r="F57" s="17"/>
      <c r="G57" s="17"/>
      <c r="H57" s="17"/>
      <c r="I57" s="15"/>
      <c r="J57" s="17"/>
      <c r="K57" s="31"/>
      <c r="L57" s="19"/>
      <c r="M57" s="17"/>
    </row>
    <row r="58" spans="1:13" x14ac:dyDescent="0.25">
      <c r="A58" s="27" t="s">
        <v>63</v>
      </c>
      <c r="B58" s="30"/>
      <c r="C58" s="29"/>
      <c r="D58" s="29"/>
      <c r="E58" s="29"/>
      <c r="F58" s="11"/>
      <c r="G58" s="11"/>
      <c r="H58" s="11"/>
      <c r="I58" s="30"/>
      <c r="J58" s="11"/>
      <c r="K58" s="43"/>
      <c r="L58" s="12"/>
      <c r="M58" s="17"/>
    </row>
    <row r="59" spans="1:13" x14ac:dyDescent="0.25">
      <c r="A59" s="21" t="s">
        <v>64</v>
      </c>
      <c r="B59" s="15"/>
      <c r="C59" s="16"/>
      <c r="D59" s="16"/>
      <c r="E59" s="16"/>
      <c r="F59" s="17"/>
      <c r="G59" s="17"/>
      <c r="H59" s="17"/>
      <c r="I59" s="15"/>
      <c r="J59" s="17"/>
      <c r="K59" s="31"/>
      <c r="L59" s="19"/>
      <c r="M59" s="17"/>
    </row>
    <row r="60" spans="1:13" x14ac:dyDescent="0.25">
      <c r="A60" s="21" t="s">
        <v>65</v>
      </c>
      <c r="B60" s="15"/>
      <c r="C60" s="16"/>
      <c r="D60" s="16"/>
      <c r="E60" s="16"/>
      <c r="F60" s="17"/>
      <c r="G60" s="17"/>
      <c r="H60" s="48"/>
      <c r="I60" s="15"/>
      <c r="J60" s="17"/>
      <c r="K60" s="31"/>
      <c r="L60" s="19"/>
      <c r="M60" s="17"/>
    </row>
    <row r="61" spans="1:13" x14ac:dyDescent="0.25">
      <c r="A61" s="21" t="s">
        <v>105</v>
      </c>
      <c r="B61" s="15"/>
      <c r="C61" s="16">
        <v>6</v>
      </c>
      <c r="D61" s="16">
        <v>3</v>
      </c>
      <c r="E61" s="16"/>
      <c r="F61" s="17"/>
      <c r="G61" s="17"/>
      <c r="H61" s="17"/>
      <c r="I61" s="15"/>
      <c r="J61" s="17"/>
      <c r="K61" s="31"/>
      <c r="L61" s="19"/>
      <c r="M61" s="17"/>
    </row>
    <row r="62" spans="1:13" x14ac:dyDescent="0.25">
      <c r="A62" s="21" t="s">
        <v>67</v>
      </c>
      <c r="B62" s="15"/>
      <c r="C62" s="16"/>
      <c r="D62" s="16"/>
      <c r="E62" s="16"/>
      <c r="F62" s="17"/>
      <c r="G62" s="17"/>
      <c r="H62" s="17"/>
      <c r="I62" s="15"/>
      <c r="J62" s="17"/>
      <c r="K62" s="31"/>
      <c r="L62" s="19"/>
      <c r="M62" s="17"/>
    </row>
    <row r="63" spans="1:13" x14ac:dyDescent="0.25">
      <c r="A63" s="21" t="s">
        <v>68</v>
      </c>
      <c r="B63" s="15"/>
      <c r="C63" s="16"/>
      <c r="D63" s="16"/>
      <c r="E63" s="16"/>
      <c r="F63" s="17"/>
      <c r="G63" s="17"/>
      <c r="H63" s="17"/>
      <c r="I63" s="15"/>
      <c r="J63" s="17"/>
      <c r="K63" s="31"/>
      <c r="L63" s="19"/>
      <c r="M63" s="17"/>
    </row>
    <row r="64" spans="1:13" x14ac:dyDescent="0.25">
      <c r="A64" s="21" t="s">
        <v>70</v>
      </c>
      <c r="B64" s="15"/>
      <c r="C64" s="16">
        <v>4</v>
      </c>
      <c r="D64" s="16"/>
      <c r="E64" s="16"/>
      <c r="F64" s="17"/>
      <c r="G64" s="17"/>
      <c r="H64" s="17"/>
      <c r="I64" s="15"/>
      <c r="J64" s="17"/>
      <c r="K64" s="31"/>
      <c r="L64" s="19"/>
      <c r="M64" s="17"/>
    </row>
    <row r="65" spans="1:13" x14ac:dyDescent="0.25">
      <c r="A65" s="21" t="s">
        <v>73</v>
      </c>
      <c r="B65" s="15"/>
      <c r="C65" s="16"/>
      <c r="D65" s="16"/>
      <c r="E65" s="16"/>
      <c r="F65" s="17"/>
      <c r="G65" s="17"/>
      <c r="H65" s="17"/>
      <c r="I65" s="15"/>
      <c r="J65" s="17"/>
      <c r="K65" s="49"/>
      <c r="L65" s="50"/>
      <c r="M65" s="17"/>
    </row>
    <row r="66" spans="1:13" x14ac:dyDescent="0.25">
      <c r="A66" s="21" t="s">
        <v>74</v>
      </c>
      <c r="B66" s="15"/>
      <c r="C66" s="16"/>
      <c r="D66" s="16"/>
      <c r="E66" s="16"/>
      <c r="F66" s="17"/>
      <c r="G66" s="17"/>
      <c r="H66" s="17"/>
      <c r="I66" s="15"/>
      <c r="J66" s="17"/>
      <c r="K66" s="31"/>
      <c r="L66" s="19"/>
      <c r="M66" s="17"/>
    </row>
    <row r="67" spans="1:13" x14ac:dyDescent="0.25">
      <c r="A67" s="21" t="s">
        <v>75</v>
      </c>
      <c r="B67" s="15"/>
      <c r="C67" s="16">
        <v>1</v>
      </c>
      <c r="D67" s="16"/>
      <c r="E67" s="16"/>
      <c r="F67" s="17"/>
      <c r="G67" s="17"/>
      <c r="H67" s="17"/>
      <c r="I67" s="15"/>
      <c r="J67" s="17"/>
      <c r="K67" s="31"/>
      <c r="L67" s="19"/>
      <c r="M67" s="17"/>
    </row>
    <row r="68" spans="1:13" x14ac:dyDescent="0.25">
      <c r="A68" s="21" t="s">
        <v>77</v>
      </c>
      <c r="B68" s="15"/>
      <c r="C68" s="16">
        <v>4</v>
      </c>
      <c r="D68" s="16"/>
      <c r="E68" s="16"/>
      <c r="F68" s="17"/>
      <c r="G68" s="17"/>
      <c r="H68" s="17"/>
      <c r="I68" s="15"/>
      <c r="J68" s="17"/>
      <c r="K68" s="31"/>
      <c r="L68" s="19"/>
      <c r="M68" s="17"/>
    </row>
    <row r="69" spans="1:13" x14ac:dyDescent="0.25">
      <c r="A69" s="21" t="s">
        <v>81</v>
      </c>
      <c r="B69" s="15"/>
      <c r="C69" s="16"/>
      <c r="D69" s="16"/>
      <c r="E69" s="16"/>
      <c r="F69" s="17"/>
      <c r="G69" s="17"/>
      <c r="H69" s="17"/>
      <c r="I69" s="15"/>
      <c r="J69" s="17"/>
      <c r="K69" s="31"/>
      <c r="L69" s="19"/>
      <c r="M69" s="17"/>
    </row>
    <row r="70" spans="1:13" x14ac:dyDescent="0.25">
      <c r="A70" s="21" t="s">
        <v>82</v>
      </c>
      <c r="B70" s="15"/>
      <c r="C70" s="16"/>
      <c r="D70" s="16"/>
      <c r="E70" s="16"/>
      <c r="F70" s="17"/>
      <c r="G70" s="17"/>
      <c r="H70" s="17"/>
      <c r="I70" s="15"/>
      <c r="J70" s="17"/>
      <c r="K70" s="31"/>
      <c r="L70" s="19"/>
      <c r="M70" s="17"/>
    </row>
    <row r="71" spans="1:13" x14ac:dyDescent="0.25">
      <c r="A71" s="21" t="s">
        <v>83</v>
      </c>
      <c r="B71" s="15"/>
      <c r="C71" s="16"/>
      <c r="D71" s="16"/>
      <c r="E71" s="16"/>
      <c r="F71" s="17"/>
      <c r="G71" s="17"/>
      <c r="H71" s="17"/>
      <c r="I71" s="15"/>
      <c r="J71" s="17"/>
      <c r="K71" s="31"/>
      <c r="L71" s="19"/>
      <c r="M71" s="17"/>
    </row>
    <row r="72" spans="1:13" x14ac:dyDescent="0.25">
      <c r="A72" s="21" t="s">
        <v>84</v>
      </c>
      <c r="B72" s="15"/>
      <c r="C72" s="16"/>
      <c r="D72" s="16"/>
      <c r="E72" s="16"/>
      <c r="F72" s="17"/>
      <c r="G72" s="17"/>
      <c r="H72" s="17"/>
      <c r="I72" s="15"/>
      <c r="J72" s="17"/>
      <c r="K72" s="31"/>
      <c r="L72" s="19"/>
      <c r="M72" s="17"/>
    </row>
    <row r="73" spans="1:13" x14ac:dyDescent="0.25">
      <c r="A73" s="21" t="s">
        <v>85</v>
      </c>
      <c r="B73" s="15"/>
      <c r="C73" s="16"/>
      <c r="D73" s="16"/>
      <c r="E73" s="16"/>
      <c r="F73" s="17"/>
      <c r="G73" s="17"/>
      <c r="H73" s="17"/>
      <c r="I73" s="15"/>
      <c r="J73" s="17"/>
      <c r="K73" s="31"/>
      <c r="L73" s="19"/>
      <c r="M73" s="17"/>
    </row>
    <row r="74" spans="1:13" x14ac:dyDescent="0.25">
      <c r="A74" s="21" t="s">
        <v>86</v>
      </c>
      <c r="B74" s="15"/>
      <c r="C74" s="16"/>
      <c r="D74" s="16"/>
      <c r="E74" s="16"/>
      <c r="F74" s="17"/>
      <c r="G74" s="17"/>
      <c r="H74" s="17"/>
      <c r="I74" s="15"/>
      <c r="J74" s="17"/>
      <c r="K74" s="31"/>
      <c r="L74" s="19"/>
      <c r="M74" s="17"/>
    </row>
    <row r="75" spans="1:13" x14ac:dyDescent="0.25">
      <c r="A75" s="21" t="s">
        <v>90</v>
      </c>
      <c r="B75" s="15"/>
      <c r="C75" s="16"/>
      <c r="D75" s="16"/>
      <c r="E75" s="16"/>
      <c r="F75" s="17"/>
      <c r="G75" s="17"/>
      <c r="H75" s="17"/>
      <c r="I75" s="15"/>
      <c r="J75" s="17"/>
      <c r="K75" s="31"/>
      <c r="L75" s="19"/>
      <c r="M75" s="17"/>
    </row>
    <row r="76" spans="1:13" x14ac:dyDescent="0.25">
      <c r="A76" s="21" t="s">
        <v>91</v>
      </c>
      <c r="B76" s="15"/>
      <c r="C76" s="16"/>
      <c r="D76" s="16"/>
      <c r="E76" s="16"/>
      <c r="F76" s="17"/>
      <c r="G76" s="17"/>
      <c r="H76" s="17"/>
      <c r="I76" s="15"/>
      <c r="J76" s="17"/>
      <c r="K76" s="17"/>
      <c r="L76" s="19"/>
      <c r="M76" s="17"/>
    </row>
    <row r="77" spans="1:13" x14ac:dyDescent="0.25">
      <c r="A77" s="21" t="s">
        <v>92</v>
      </c>
      <c r="B77" s="15"/>
      <c r="C77" s="16"/>
      <c r="D77" s="16"/>
      <c r="E77" s="16"/>
      <c r="F77" s="17"/>
      <c r="G77" s="17"/>
      <c r="H77" s="17"/>
      <c r="I77" s="15"/>
      <c r="J77" s="17"/>
      <c r="K77" s="17"/>
      <c r="L77" s="19"/>
      <c r="M77" s="17"/>
    </row>
    <row r="78" spans="1:13" x14ac:dyDescent="0.25">
      <c r="A78" s="21" t="s">
        <v>93</v>
      </c>
      <c r="B78" s="15"/>
      <c r="C78" s="16"/>
      <c r="D78" s="16"/>
      <c r="E78" s="16"/>
      <c r="F78" s="17"/>
      <c r="G78" s="17"/>
      <c r="H78" s="17"/>
      <c r="I78" s="15"/>
      <c r="J78" s="17"/>
      <c r="K78" s="17"/>
      <c r="L78" s="19"/>
      <c r="M78" s="17"/>
    </row>
    <row r="79" spans="1:13" x14ac:dyDescent="0.25">
      <c r="A79" s="21" t="s">
        <v>94</v>
      </c>
      <c r="B79" s="15"/>
      <c r="C79" s="16">
        <v>114</v>
      </c>
      <c r="D79" s="16"/>
      <c r="E79" s="16"/>
      <c r="F79" s="17"/>
      <c r="G79" s="17"/>
      <c r="H79" s="17"/>
      <c r="I79" s="15"/>
      <c r="J79" s="17"/>
      <c r="K79" s="17"/>
      <c r="L79" s="19"/>
      <c r="M79" s="17"/>
    </row>
    <row r="80" spans="1:13" x14ac:dyDescent="0.25">
      <c r="A80" s="21" t="s">
        <v>95</v>
      </c>
      <c r="B80" s="15"/>
      <c r="C80" s="16">
        <v>6</v>
      </c>
      <c r="D80" s="16"/>
      <c r="E80" s="16"/>
      <c r="F80" s="17"/>
      <c r="G80" s="17"/>
      <c r="H80" s="17"/>
      <c r="I80" s="15"/>
      <c r="J80" s="17"/>
      <c r="K80" s="17"/>
      <c r="L80" s="19"/>
      <c r="M80" s="17"/>
    </row>
    <row r="81" spans="1:13" ht="15.75" thickBot="1" x14ac:dyDescent="0.3">
      <c r="A81" s="51" t="s">
        <v>96</v>
      </c>
      <c r="B81" s="15"/>
      <c r="C81" s="16"/>
      <c r="D81" s="52"/>
      <c r="E81" s="52"/>
      <c r="G81" s="17"/>
      <c r="H81" s="17"/>
      <c r="I81" s="15"/>
      <c r="J81" s="17"/>
      <c r="K81" s="17"/>
      <c r="L81" s="19"/>
      <c r="M81" s="17"/>
    </row>
    <row r="82" spans="1:13" hidden="1" x14ac:dyDescent="0.25">
      <c r="A82" s="1" t="s">
        <v>97</v>
      </c>
      <c r="B82" s="26"/>
      <c r="J82" s="17">
        <f t="shared" ref="J82" si="0">(I82-H82)</f>
        <v>0</v>
      </c>
    </row>
    <row r="83" spans="1:13" s="55" customFormat="1" x14ac:dyDescent="0.25">
      <c r="A83" s="53" t="s">
        <v>121</v>
      </c>
      <c r="B83" s="54"/>
      <c r="F83" s="11"/>
      <c r="J83" s="11"/>
    </row>
    <row r="84" spans="1:13" x14ac:dyDescent="0.25">
      <c r="A84" s="56" t="s">
        <v>156</v>
      </c>
      <c r="B84">
        <v>1</v>
      </c>
      <c r="D84">
        <v>1</v>
      </c>
    </row>
    <row r="85" spans="1:13" x14ac:dyDescent="0.25">
      <c r="A85" s="1" t="s">
        <v>122</v>
      </c>
      <c r="C85">
        <v>2</v>
      </c>
    </row>
    <row r="86" spans="1:13" x14ac:dyDescent="0.25">
      <c r="A86" s="1" t="s">
        <v>126</v>
      </c>
      <c r="C86">
        <v>2</v>
      </c>
    </row>
    <row r="87" spans="1:13" x14ac:dyDescent="0.25">
      <c r="A87" s="1" t="s">
        <v>127</v>
      </c>
    </row>
    <row r="88" spans="1:13" x14ac:dyDescent="0.25">
      <c r="A88" s="1" t="s">
        <v>128</v>
      </c>
      <c r="B88">
        <v>1</v>
      </c>
      <c r="C88">
        <v>1</v>
      </c>
      <c r="D88">
        <v>1</v>
      </c>
      <c r="I88">
        <v>1</v>
      </c>
    </row>
    <row r="89" spans="1:13" x14ac:dyDescent="0.25">
      <c r="A89" s="1" t="s">
        <v>157</v>
      </c>
    </row>
    <row r="90" spans="1:13" x14ac:dyDescent="0.25">
      <c r="A90" s="1" t="s">
        <v>129</v>
      </c>
    </row>
    <row r="91" spans="1:13" x14ac:dyDescent="0.25">
      <c r="A91" s="1" t="s">
        <v>130</v>
      </c>
    </row>
    <row r="92" spans="1:13" x14ac:dyDescent="0.25">
      <c r="A92" s="1" t="s">
        <v>172</v>
      </c>
      <c r="B92">
        <v>1</v>
      </c>
      <c r="D92">
        <v>1</v>
      </c>
    </row>
    <row r="93" spans="1:13" x14ac:dyDescent="0.25">
      <c r="A93" s="1" t="s">
        <v>131</v>
      </c>
    </row>
    <row r="94" spans="1:13" x14ac:dyDescent="0.25">
      <c r="A94" s="1" t="s">
        <v>132</v>
      </c>
    </row>
    <row r="95" spans="1:13" x14ac:dyDescent="0.25">
      <c r="A95" s="1" t="s">
        <v>133</v>
      </c>
    </row>
    <row r="96" spans="1:13" x14ac:dyDescent="0.25">
      <c r="A96" s="1" t="s">
        <v>134</v>
      </c>
      <c r="B96">
        <v>1</v>
      </c>
    </row>
    <row r="97" spans="1:4" x14ac:dyDescent="0.25">
      <c r="A97" s="1" t="s">
        <v>135</v>
      </c>
    </row>
    <row r="98" spans="1:4" x14ac:dyDescent="0.25">
      <c r="A98" s="1" t="s">
        <v>136</v>
      </c>
    </row>
    <row r="99" spans="1:4" x14ac:dyDescent="0.25">
      <c r="A99" s="1" t="s">
        <v>137</v>
      </c>
    </row>
    <row r="100" spans="1:4" x14ac:dyDescent="0.25">
      <c r="A100" s="1" t="s">
        <v>158</v>
      </c>
    </row>
    <row r="101" spans="1:4" x14ac:dyDescent="0.25">
      <c r="A101" s="1" t="s">
        <v>138</v>
      </c>
      <c r="B101">
        <v>1</v>
      </c>
      <c r="C101">
        <v>1</v>
      </c>
    </row>
    <row r="102" spans="1:4" x14ac:dyDescent="0.25">
      <c r="A102" t="s">
        <v>164</v>
      </c>
    </row>
    <row r="103" spans="1:4" x14ac:dyDescent="0.25">
      <c r="A103" s="1" t="s">
        <v>139</v>
      </c>
      <c r="B103">
        <v>2</v>
      </c>
    </row>
    <row r="104" spans="1:4" x14ac:dyDescent="0.25">
      <c r="A104" s="1" t="s">
        <v>140</v>
      </c>
    </row>
    <row r="105" spans="1:4" x14ac:dyDescent="0.25">
      <c r="A105" s="1" t="s">
        <v>159</v>
      </c>
    </row>
    <row r="106" spans="1:4" x14ac:dyDescent="0.25">
      <c r="A106" s="1" t="s">
        <v>141</v>
      </c>
      <c r="B106">
        <v>2</v>
      </c>
      <c r="D106">
        <v>1</v>
      </c>
    </row>
    <row r="107" spans="1:4" x14ac:dyDescent="0.25">
      <c r="A107" s="1" t="s">
        <v>142</v>
      </c>
    </row>
    <row r="108" spans="1:4" x14ac:dyDescent="0.25">
      <c r="A108" s="1" t="s">
        <v>143</v>
      </c>
    </row>
    <row r="109" spans="1:4" x14ac:dyDescent="0.25">
      <c r="A109" s="1" t="s">
        <v>144</v>
      </c>
      <c r="B109">
        <v>1</v>
      </c>
    </row>
    <row r="110" spans="1:4" x14ac:dyDescent="0.25">
      <c r="A110" s="1" t="s">
        <v>145</v>
      </c>
    </row>
    <row r="111" spans="1:4" x14ac:dyDescent="0.25">
      <c r="A111" s="1" t="s">
        <v>160</v>
      </c>
    </row>
    <row r="112" spans="1:4" x14ac:dyDescent="0.25">
      <c r="A112" s="1" t="s">
        <v>146</v>
      </c>
    </row>
    <row r="113" spans="1:3" x14ac:dyDescent="0.25">
      <c r="A113" s="1" t="s">
        <v>147</v>
      </c>
    </row>
    <row r="114" spans="1:3" x14ac:dyDescent="0.25">
      <c r="A114" s="1" t="s">
        <v>161</v>
      </c>
      <c r="B114">
        <v>100</v>
      </c>
    </row>
    <row r="115" spans="1:3" x14ac:dyDescent="0.25">
      <c r="A115" s="1" t="s">
        <v>148</v>
      </c>
    </row>
    <row r="116" spans="1:3" x14ac:dyDescent="0.25">
      <c r="A116" s="1" t="s">
        <v>149</v>
      </c>
    </row>
    <row r="117" spans="1:3" x14ac:dyDescent="0.25">
      <c r="A117" s="1" t="s">
        <v>162</v>
      </c>
    </row>
    <row r="118" spans="1:3" x14ac:dyDescent="0.25">
      <c r="A118" t="s">
        <v>163</v>
      </c>
    </row>
    <row r="119" spans="1:3" x14ac:dyDescent="0.25">
      <c r="A119" s="1" t="s">
        <v>150</v>
      </c>
    </row>
    <row r="120" spans="1:3" x14ac:dyDescent="0.25">
      <c r="A120" s="1" t="s">
        <v>151</v>
      </c>
    </row>
    <row r="121" spans="1:3" x14ac:dyDescent="0.25">
      <c r="A121" s="1" t="s">
        <v>152</v>
      </c>
    </row>
    <row r="122" spans="1:3" x14ac:dyDescent="0.25">
      <c r="A122" s="1" t="s">
        <v>153</v>
      </c>
    </row>
    <row r="123" spans="1:3" x14ac:dyDescent="0.25">
      <c r="A123" s="1" t="s">
        <v>154</v>
      </c>
    </row>
    <row r="124" spans="1:3" x14ac:dyDescent="0.25">
      <c r="A124" s="1" t="s">
        <v>155</v>
      </c>
    </row>
    <row r="125" spans="1:3" x14ac:dyDescent="0.25">
      <c r="A125" s="1" t="s">
        <v>166</v>
      </c>
      <c r="C125">
        <v>6</v>
      </c>
    </row>
    <row r="126" spans="1:3" x14ac:dyDescent="0.25">
      <c r="A126" s="1" t="s">
        <v>167</v>
      </c>
      <c r="B126" t="s">
        <v>170</v>
      </c>
      <c r="C126">
        <v>12</v>
      </c>
    </row>
    <row r="127" spans="1:3" x14ac:dyDescent="0.25">
      <c r="A127" s="1" t="s">
        <v>56</v>
      </c>
      <c r="B127" t="s">
        <v>171</v>
      </c>
    </row>
    <row r="128" spans="1:3" x14ac:dyDescent="0.25">
      <c r="A128" s="1" t="s">
        <v>173</v>
      </c>
      <c r="B128">
        <v>2</v>
      </c>
    </row>
    <row r="129" spans="1:4" x14ac:dyDescent="0.25">
      <c r="A129" s="1" t="s">
        <v>174</v>
      </c>
      <c r="B129">
        <v>1</v>
      </c>
      <c r="D129">
        <v>1</v>
      </c>
    </row>
  </sheetData>
  <conditionalFormatting sqref="A5">
    <cfRule type="duplicateValues" dxfId="31" priority="10"/>
  </conditionalFormatting>
  <conditionalFormatting sqref="A6:A11">
    <cfRule type="duplicateValues" dxfId="30" priority="9"/>
  </conditionalFormatting>
  <conditionalFormatting sqref="A20:A21">
    <cfRule type="duplicateValues" dxfId="29" priority="13"/>
  </conditionalFormatting>
  <conditionalFormatting sqref="A22">
    <cfRule type="duplicateValues" dxfId="28" priority="11"/>
  </conditionalFormatting>
  <conditionalFormatting sqref="A23:A24">
    <cfRule type="duplicateValues" dxfId="27" priority="12"/>
  </conditionalFormatting>
  <conditionalFormatting sqref="A25:A30">
    <cfRule type="duplicateValues" dxfId="26" priority="45"/>
  </conditionalFormatting>
  <conditionalFormatting sqref="A29:A31">
    <cfRule type="duplicateValues" dxfId="25" priority="26"/>
  </conditionalFormatting>
  <conditionalFormatting sqref="A31:A81 A12:A19 A84">
    <cfRule type="duplicateValues" dxfId="24" priority="44"/>
  </conditionalFormatting>
  <conditionalFormatting sqref="A36">
    <cfRule type="duplicateValues" dxfId="23" priority="4"/>
  </conditionalFormatting>
  <conditionalFormatting sqref="A42">
    <cfRule type="duplicateValues" dxfId="22" priority="28"/>
  </conditionalFormatting>
  <conditionalFormatting sqref="A43:A44 A37:A41">
    <cfRule type="duplicateValues" dxfId="21" priority="6"/>
  </conditionalFormatting>
  <conditionalFormatting sqref="A47">
    <cfRule type="duplicateValues" dxfId="20" priority="5"/>
  </conditionalFormatting>
  <conditionalFormatting sqref="A48 A32:A35 A45:A46">
    <cfRule type="duplicateValues" dxfId="19" priority="7"/>
  </conditionalFormatting>
  <conditionalFormatting sqref="A71:A73">
    <cfRule type="duplicateValues" dxfId="18" priority="17"/>
  </conditionalFormatting>
  <conditionalFormatting sqref="A81 A84">
    <cfRule type="duplicateValues" dxfId="17" priority="8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9CDED-E994-445B-AFAF-D7C0C7E63FB5}">
  <dimension ref="A1:N89"/>
  <sheetViews>
    <sheetView workbookViewId="0">
      <selection activeCell="B5" sqref="B5"/>
    </sheetView>
  </sheetViews>
  <sheetFormatPr defaultRowHeight="15" x14ac:dyDescent="0.25"/>
  <cols>
    <col min="1" max="1" width="34.140625" customWidth="1"/>
    <col min="2" max="2" width="15.5703125" customWidth="1"/>
    <col min="3" max="3" width="13.28515625" customWidth="1"/>
    <col min="7" max="7" width="12.85546875" customWidth="1"/>
    <col min="8" max="8" width="15.5703125" customWidth="1"/>
    <col min="9" max="9" width="10.28515625" customWidth="1"/>
    <col min="10" max="10" width="10" customWidth="1"/>
    <col min="11" max="11" width="15" customWidth="1"/>
    <col min="12" max="12" width="19.28515625" customWidth="1"/>
  </cols>
  <sheetData>
    <row r="1" spans="1:12" x14ac:dyDescent="0.25">
      <c r="A1" s="1" t="s">
        <v>0</v>
      </c>
    </row>
    <row r="2" spans="1:12" ht="15" customHeight="1" x14ac:dyDescent="0.25">
      <c r="A2" s="2" t="s">
        <v>98</v>
      </c>
    </row>
    <row r="3" spans="1:12" ht="18.75" x14ac:dyDescent="0.3">
      <c r="A3" s="3" t="s">
        <v>1</v>
      </c>
      <c r="B3" s="4" t="s">
        <v>2</v>
      </c>
      <c r="H3" s="4" t="s">
        <v>2</v>
      </c>
    </row>
    <row r="4" spans="1:12" x14ac:dyDescent="0.25">
      <c r="A4" s="5" t="s">
        <v>3</v>
      </c>
      <c r="B4" s="7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7" t="s">
        <v>10</v>
      </c>
      <c r="I4" s="5" t="s">
        <v>11</v>
      </c>
      <c r="J4" s="8" t="s">
        <v>12</v>
      </c>
      <c r="K4" s="6" t="s">
        <v>13</v>
      </c>
      <c r="L4" s="9" t="s">
        <v>14</v>
      </c>
    </row>
    <row r="5" spans="1:12" x14ac:dyDescent="0.25">
      <c r="A5" s="10" t="s">
        <v>15</v>
      </c>
      <c r="B5" s="13"/>
      <c r="C5" s="11"/>
      <c r="D5" s="11"/>
      <c r="E5" s="11"/>
      <c r="F5" s="11"/>
      <c r="G5" s="12"/>
      <c r="H5" s="13"/>
      <c r="I5" s="11"/>
      <c r="J5" s="11"/>
      <c r="K5" s="11"/>
      <c r="L5" s="11"/>
    </row>
    <row r="6" spans="1:12" x14ac:dyDescent="0.25">
      <c r="A6" s="14" t="s">
        <v>16</v>
      </c>
      <c r="B6" s="15"/>
      <c r="C6" s="16">
        <v>0</v>
      </c>
      <c r="D6" s="17"/>
      <c r="E6" s="17"/>
      <c r="F6" s="15"/>
      <c r="G6" s="17">
        <f>B6+C6-D6-E6-F6</f>
        <v>0</v>
      </c>
      <c r="H6" s="15"/>
      <c r="I6" s="17">
        <f t="shared" ref="I6:I9" si="0">(H6-G6)</f>
        <v>0</v>
      </c>
      <c r="J6" s="18"/>
      <c r="K6" s="19">
        <f t="shared" ref="K6:K13" si="1">(I6*J6)</f>
        <v>0</v>
      </c>
      <c r="L6" s="15"/>
    </row>
    <row r="7" spans="1:12" x14ac:dyDescent="0.25">
      <c r="A7" s="14" t="s">
        <v>17</v>
      </c>
      <c r="B7" s="15"/>
      <c r="C7" s="16">
        <v>0</v>
      </c>
      <c r="D7" s="17"/>
      <c r="E7" s="17"/>
      <c r="F7" s="15"/>
      <c r="G7" s="17">
        <f>B7+C7-D7-E7-F7</f>
        <v>0</v>
      </c>
      <c r="H7" s="15"/>
      <c r="I7" s="17">
        <f t="shared" si="0"/>
        <v>0</v>
      </c>
      <c r="J7" s="18"/>
      <c r="K7" s="19">
        <f>(I7*J7)</f>
        <v>0</v>
      </c>
      <c r="L7" s="20"/>
    </row>
    <row r="8" spans="1:12" x14ac:dyDescent="0.25">
      <c r="A8" s="21" t="s">
        <v>18</v>
      </c>
      <c r="B8" s="15">
        <v>110</v>
      </c>
      <c r="C8" s="16"/>
      <c r="D8" s="17"/>
      <c r="E8" s="17"/>
      <c r="F8" s="15"/>
      <c r="G8" s="17"/>
      <c r="H8" s="15">
        <v>110</v>
      </c>
      <c r="I8" s="17"/>
      <c r="J8" s="22"/>
      <c r="K8" s="19">
        <f t="shared" si="1"/>
        <v>0</v>
      </c>
      <c r="L8" s="23"/>
    </row>
    <row r="9" spans="1:12" x14ac:dyDescent="0.25">
      <c r="A9" s="21" t="s">
        <v>19</v>
      </c>
      <c r="B9" s="15">
        <v>0</v>
      </c>
      <c r="C9" s="16">
        <v>0</v>
      </c>
      <c r="D9" s="17"/>
      <c r="E9" s="17"/>
      <c r="F9" s="15"/>
      <c r="G9" s="17">
        <f>B9+C9-D9-E9-F9</f>
        <v>0</v>
      </c>
      <c r="H9" s="15">
        <v>0</v>
      </c>
      <c r="I9" s="17">
        <f t="shared" si="0"/>
        <v>0</v>
      </c>
      <c r="J9" s="22"/>
      <c r="K9" s="19">
        <f t="shared" si="1"/>
        <v>0</v>
      </c>
      <c r="L9" s="15"/>
    </row>
    <row r="10" spans="1:12" x14ac:dyDescent="0.25">
      <c r="A10" s="21" t="s">
        <v>20</v>
      </c>
      <c r="B10" s="15">
        <v>4696</v>
      </c>
      <c r="C10" s="16">
        <v>0</v>
      </c>
      <c r="D10" s="17"/>
      <c r="E10" s="17">
        <v>0</v>
      </c>
      <c r="F10" s="15">
        <v>0</v>
      </c>
      <c r="G10" s="17"/>
      <c r="H10" s="15">
        <v>4696</v>
      </c>
      <c r="I10" s="17"/>
      <c r="J10" s="22"/>
      <c r="K10" s="19">
        <f t="shared" si="1"/>
        <v>0</v>
      </c>
      <c r="L10" s="24"/>
    </row>
    <row r="11" spans="1:12" x14ac:dyDescent="0.25">
      <c r="A11" s="21" t="s">
        <v>21</v>
      </c>
      <c r="B11" s="15">
        <v>4899</v>
      </c>
      <c r="C11" s="16">
        <v>0</v>
      </c>
      <c r="D11" s="17"/>
      <c r="E11" s="17">
        <v>0</v>
      </c>
      <c r="F11" s="15">
        <v>0</v>
      </c>
      <c r="G11" s="17"/>
      <c r="H11" s="15">
        <v>4899</v>
      </c>
      <c r="I11" s="17"/>
      <c r="J11" s="22"/>
      <c r="K11" s="19">
        <f t="shared" si="1"/>
        <v>0</v>
      </c>
      <c r="L11" s="25"/>
    </row>
    <row r="12" spans="1:12" x14ac:dyDescent="0.25">
      <c r="A12" s="21" t="s">
        <v>22</v>
      </c>
      <c r="B12" s="15">
        <v>4274</v>
      </c>
      <c r="C12" s="16">
        <v>0</v>
      </c>
      <c r="D12" s="17"/>
      <c r="E12" s="17">
        <v>0</v>
      </c>
      <c r="F12" s="15">
        <v>0</v>
      </c>
      <c r="G12" s="17"/>
      <c r="H12" s="15">
        <v>4274</v>
      </c>
      <c r="I12" s="17"/>
      <c r="J12" s="22"/>
      <c r="K12" s="19">
        <f t="shared" si="1"/>
        <v>0</v>
      </c>
      <c r="L12" s="15"/>
    </row>
    <row r="13" spans="1:12" x14ac:dyDescent="0.25">
      <c r="A13" s="21" t="s">
        <v>23</v>
      </c>
      <c r="B13" s="26">
        <v>35</v>
      </c>
      <c r="C13" s="16"/>
      <c r="D13" s="17"/>
      <c r="E13" s="17"/>
      <c r="F13" s="15"/>
      <c r="G13" s="17"/>
      <c r="H13" s="26">
        <v>35</v>
      </c>
      <c r="I13" s="17">
        <v>0</v>
      </c>
      <c r="J13" s="22"/>
      <c r="K13" s="19">
        <f t="shared" si="1"/>
        <v>0</v>
      </c>
      <c r="L13" s="15"/>
    </row>
    <row r="14" spans="1:12" x14ac:dyDescent="0.25">
      <c r="A14" s="27" t="s">
        <v>24</v>
      </c>
      <c r="B14" s="28"/>
      <c r="C14" s="29"/>
      <c r="D14" s="11"/>
      <c r="E14" s="11"/>
      <c r="F14" s="30"/>
      <c r="G14" s="11"/>
      <c r="H14" s="28"/>
      <c r="I14" s="11"/>
      <c r="J14" s="11"/>
      <c r="K14" s="11"/>
      <c r="L14" s="15"/>
    </row>
    <row r="15" spans="1:12" x14ac:dyDescent="0.25">
      <c r="A15" s="21" t="s">
        <v>25</v>
      </c>
      <c r="B15" s="15">
        <v>1356</v>
      </c>
      <c r="C15" s="16"/>
      <c r="D15" s="17"/>
      <c r="E15" s="17"/>
      <c r="F15" s="15"/>
      <c r="G15" s="17"/>
      <c r="H15" s="15">
        <v>1356</v>
      </c>
      <c r="I15" s="17"/>
      <c r="J15" s="31"/>
      <c r="K15" s="32">
        <f>(I15*J15)</f>
        <v>0</v>
      </c>
      <c r="L15" s="33"/>
    </row>
    <row r="16" spans="1:12" x14ac:dyDescent="0.25">
      <c r="A16" s="21" t="s">
        <v>26</v>
      </c>
      <c r="B16" s="15">
        <v>305</v>
      </c>
      <c r="C16" s="16"/>
      <c r="D16" s="17"/>
      <c r="E16" s="17"/>
      <c r="F16" s="15"/>
      <c r="G16" s="17"/>
      <c r="H16" s="15">
        <v>305</v>
      </c>
      <c r="I16" s="17"/>
      <c r="J16" s="22"/>
      <c r="K16" s="19">
        <f t="shared" ref="K16:K19" si="2">(I16*J16)</f>
        <v>0</v>
      </c>
      <c r="L16" s="15"/>
    </row>
    <row r="17" spans="1:14" x14ac:dyDescent="0.25">
      <c r="A17" s="21" t="s">
        <v>27</v>
      </c>
      <c r="B17" s="15">
        <v>0</v>
      </c>
      <c r="C17" s="16"/>
      <c r="D17" s="17"/>
      <c r="E17" s="17"/>
      <c r="F17" s="15"/>
      <c r="G17" s="17"/>
      <c r="H17" s="15">
        <v>0</v>
      </c>
      <c r="I17" s="17"/>
      <c r="J17" s="22"/>
      <c r="K17" s="19"/>
      <c r="L17" s="15"/>
    </row>
    <row r="18" spans="1:14" x14ac:dyDescent="0.25">
      <c r="A18" s="21" t="s">
        <v>28</v>
      </c>
      <c r="B18" s="15">
        <v>1</v>
      </c>
      <c r="C18" s="16"/>
      <c r="D18" s="17"/>
      <c r="E18" s="17"/>
      <c r="F18" s="15"/>
      <c r="G18" s="17"/>
      <c r="H18" s="15">
        <v>1</v>
      </c>
      <c r="I18" s="17"/>
      <c r="J18" s="22"/>
      <c r="K18" s="19">
        <f t="shared" si="2"/>
        <v>0</v>
      </c>
      <c r="L18" s="33"/>
    </row>
    <row r="19" spans="1:14" x14ac:dyDescent="0.25">
      <c r="A19" s="21" t="s">
        <v>29</v>
      </c>
      <c r="B19" s="15">
        <v>1579</v>
      </c>
      <c r="C19" s="16"/>
      <c r="D19" s="17"/>
      <c r="E19" s="17"/>
      <c r="F19" s="15"/>
      <c r="G19" s="17"/>
      <c r="H19" s="15">
        <v>1579</v>
      </c>
      <c r="I19" s="17">
        <v>0</v>
      </c>
      <c r="J19" s="22"/>
      <c r="K19" s="19">
        <f t="shared" si="2"/>
        <v>0</v>
      </c>
      <c r="L19" s="33"/>
    </row>
    <row r="20" spans="1:14" x14ac:dyDescent="0.25">
      <c r="A20" s="34" t="s">
        <v>30</v>
      </c>
      <c r="B20" s="30"/>
      <c r="C20" s="29"/>
      <c r="D20" s="11"/>
      <c r="E20" s="11"/>
      <c r="F20" s="30"/>
      <c r="G20" s="11"/>
      <c r="H20" s="30"/>
      <c r="I20" s="11"/>
      <c r="J20" s="35"/>
      <c r="K20" s="12"/>
      <c r="L20" s="15"/>
    </row>
    <row r="21" spans="1:14" x14ac:dyDescent="0.25">
      <c r="A21" s="36" t="s">
        <v>31</v>
      </c>
      <c r="B21" s="15">
        <v>7</v>
      </c>
      <c r="C21" s="16">
        <v>0</v>
      </c>
      <c r="D21" s="17"/>
      <c r="E21" s="17"/>
      <c r="F21" s="15"/>
      <c r="G21" s="17"/>
      <c r="H21" s="15">
        <v>7</v>
      </c>
      <c r="I21" s="17"/>
      <c r="J21" s="22"/>
      <c r="K21" s="19">
        <f t="shared" ref="K21:K51" si="3">(I21*J21)</f>
        <v>0</v>
      </c>
      <c r="L21" s="15"/>
    </row>
    <row r="22" spans="1:14" x14ac:dyDescent="0.25">
      <c r="A22" s="36" t="s">
        <v>32</v>
      </c>
      <c r="B22" s="15">
        <v>5</v>
      </c>
      <c r="C22" s="16">
        <v>0</v>
      </c>
      <c r="D22" s="17"/>
      <c r="E22" s="17"/>
      <c r="F22" s="15"/>
      <c r="G22" s="17"/>
      <c r="H22" s="15">
        <v>5</v>
      </c>
      <c r="I22" s="17"/>
      <c r="J22" s="31"/>
      <c r="K22" s="19">
        <f t="shared" si="3"/>
        <v>0</v>
      </c>
      <c r="L22" s="15"/>
    </row>
    <row r="23" spans="1:14" x14ac:dyDescent="0.25">
      <c r="A23" s="36" t="s">
        <v>33</v>
      </c>
      <c r="B23" s="15">
        <v>0</v>
      </c>
      <c r="C23" s="16">
        <v>0</v>
      </c>
      <c r="D23" s="17"/>
      <c r="E23" s="17"/>
      <c r="F23" s="15"/>
      <c r="G23" s="17">
        <f>B23+C23-D23-E23-F23</f>
        <v>0</v>
      </c>
      <c r="H23" s="15">
        <v>0</v>
      </c>
      <c r="I23" s="17">
        <f t="shared" ref="I23:I35" si="4">(H23-G23)</f>
        <v>0</v>
      </c>
      <c r="J23" s="22"/>
      <c r="K23" s="19">
        <f t="shared" si="3"/>
        <v>0</v>
      </c>
      <c r="L23" s="15"/>
    </row>
    <row r="24" spans="1:14" x14ac:dyDescent="0.25">
      <c r="A24" s="36" t="s">
        <v>34</v>
      </c>
      <c r="B24" s="15">
        <v>13</v>
      </c>
      <c r="C24" s="16"/>
      <c r="D24" s="17"/>
      <c r="E24" s="17"/>
      <c r="F24" s="15"/>
      <c r="G24" s="17"/>
      <c r="H24" s="15">
        <v>13</v>
      </c>
      <c r="I24" s="17"/>
      <c r="J24" s="22"/>
      <c r="K24" s="19">
        <f t="shared" si="3"/>
        <v>0</v>
      </c>
      <c r="L24" s="15"/>
    </row>
    <row r="25" spans="1:14" x14ac:dyDescent="0.25">
      <c r="A25" s="36" t="s">
        <v>35</v>
      </c>
      <c r="B25" s="15">
        <v>0</v>
      </c>
      <c r="C25" s="16"/>
      <c r="D25" s="17"/>
      <c r="E25" s="17"/>
      <c r="F25" s="15"/>
      <c r="G25" s="17">
        <f>B25+C25-D25-E25-F25</f>
        <v>0</v>
      </c>
      <c r="H25" s="15">
        <v>0</v>
      </c>
      <c r="I25" s="17">
        <f t="shared" si="4"/>
        <v>0</v>
      </c>
      <c r="J25" s="22"/>
      <c r="K25" s="19">
        <f t="shared" si="3"/>
        <v>0</v>
      </c>
      <c r="L25" s="37"/>
    </row>
    <row r="26" spans="1:14" x14ac:dyDescent="0.25">
      <c r="A26" s="36" t="s">
        <v>36</v>
      </c>
      <c r="B26" s="15">
        <v>0</v>
      </c>
      <c r="C26" s="16"/>
      <c r="D26" s="17"/>
      <c r="E26" s="17"/>
      <c r="F26" s="15"/>
      <c r="G26" s="17">
        <f>B26+C26-D26-E26-F26</f>
        <v>0</v>
      </c>
      <c r="H26" s="15">
        <v>0</v>
      </c>
      <c r="I26" s="17">
        <f t="shared" si="4"/>
        <v>0</v>
      </c>
      <c r="J26" s="31"/>
      <c r="K26" s="19">
        <f t="shared" si="3"/>
        <v>0</v>
      </c>
    </row>
    <row r="27" spans="1:14" x14ac:dyDescent="0.25">
      <c r="A27" s="36" t="s">
        <v>37</v>
      </c>
      <c r="B27" s="15"/>
      <c r="C27" s="16"/>
      <c r="D27" s="17"/>
      <c r="E27" s="17"/>
      <c r="F27" s="15"/>
      <c r="G27" s="17"/>
      <c r="H27" s="15"/>
      <c r="I27" s="17">
        <f t="shared" si="4"/>
        <v>0</v>
      </c>
      <c r="J27" s="31"/>
      <c r="K27" s="19">
        <f t="shared" si="3"/>
        <v>0</v>
      </c>
      <c r="L27" s="33"/>
    </row>
    <row r="28" spans="1:14" x14ac:dyDescent="0.25">
      <c r="A28" s="36" t="s">
        <v>38</v>
      </c>
      <c r="B28" s="15">
        <v>44</v>
      </c>
      <c r="C28" s="16"/>
      <c r="D28" s="17"/>
      <c r="E28" s="17"/>
      <c r="F28" s="15"/>
      <c r="G28" s="17"/>
      <c r="H28" s="15">
        <v>44</v>
      </c>
      <c r="I28" s="17"/>
      <c r="J28" s="22"/>
      <c r="K28" s="19">
        <f t="shared" si="3"/>
        <v>0</v>
      </c>
      <c r="L28" s="38"/>
      <c r="M28" s="39"/>
      <c r="N28" s="39"/>
    </row>
    <row r="29" spans="1:14" ht="18" customHeight="1" x14ac:dyDescent="0.25">
      <c r="A29" s="40" t="s">
        <v>39</v>
      </c>
      <c r="B29" s="15">
        <v>57</v>
      </c>
      <c r="C29" s="16"/>
      <c r="D29" s="17"/>
      <c r="E29" s="17"/>
      <c r="F29" s="15"/>
      <c r="G29" s="17"/>
      <c r="H29" s="15">
        <v>57</v>
      </c>
      <c r="I29" s="17"/>
      <c r="J29" s="31"/>
      <c r="K29" s="19">
        <f t="shared" si="3"/>
        <v>0</v>
      </c>
      <c r="L29" s="38"/>
      <c r="M29" s="39"/>
      <c r="N29" s="39"/>
    </row>
    <row r="30" spans="1:14" x14ac:dyDescent="0.25">
      <c r="A30" s="40" t="s">
        <v>40</v>
      </c>
      <c r="B30" s="15">
        <v>367</v>
      </c>
      <c r="C30" s="16">
        <v>0</v>
      </c>
      <c r="D30" s="17"/>
      <c r="E30" s="17"/>
      <c r="F30" s="15"/>
      <c r="G30" s="17"/>
      <c r="H30" s="15">
        <v>367</v>
      </c>
      <c r="I30" s="17"/>
      <c r="J30" s="31"/>
      <c r="K30" s="19"/>
      <c r="L30" s="38"/>
      <c r="M30" s="39"/>
      <c r="N30" s="39"/>
    </row>
    <row r="31" spans="1:14" ht="16.5" customHeight="1" x14ac:dyDescent="0.25">
      <c r="A31" s="40" t="s">
        <v>41</v>
      </c>
      <c r="B31" s="15">
        <v>5</v>
      </c>
      <c r="C31" s="16"/>
      <c r="D31" s="17"/>
      <c r="E31" s="17"/>
      <c r="F31" s="15"/>
      <c r="G31" s="17"/>
      <c r="H31" s="15">
        <v>5</v>
      </c>
      <c r="I31" s="17"/>
      <c r="J31" s="31"/>
      <c r="K31" s="19"/>
      <c r="L31" s="15"/>
    </row>
    <row r="32" spans="1:14" x14ac:dyDescent="0.25">
      <c r="A32" s="36" t="s">
        <v>42</v>
      </c>
      <c r="B32" s="15"/>
      <c r="C32" s="16"/>
      <c r="D32" s="17"/>
      <c r="E32" s="17"/>
      <c r="F32" s="15"/>
      <c r="G32" s="17"/>
      <c r="H32" s="15"/>
      <c r="I32" s="17"/>
      <c r="J32" s="31"/>
      <c r="K32" s="19">
        <f t="shared" si="3"/>
        <v>0</v>
      </c>
      <c r="L32" s="15"/>
    </row>
    <row r="33" spans="1:12" x14ac:dyDescent="0.25">
      <c r="A33" s="36" t="s">
        <v>43</v>
      </c>
      <c r="B33" s="15"/>
      <c r="C33" s="16">
        <v>0</v>
      </c>
      <c r="D33" s="17"/>
      <c r="E33" s="17"/>
      <c r="F33" s="15"/>
      <c r="G33" s="17">
        <f>B33+C33-D33-E33-F33</f>
        <v>0</v>
      </c>
      <c r="H33" s="15"/>
      <c r="I33" s="17"/>
      <c r="J33" s="31"/>
      <c r="K33" s="19">
        <f t="shared" si="3"/>
        <v>0</v>
      </c>
      <c r="L33" s="41"/>
    </row>
    <row r="34" spans="1:12" x14ac:dyDescent="0.25">
      <c r="A34" s="36" t="s">
        <v>44</v>
      </c>
      <c r="B34" s="15"/>
      <c r="C34" s="16"/>
      <c r="D34" s="17"/>
      <c r="E34" s="17"/>
      <c r="F34" s="15"/>
      <c r="G34" s="17"/>
      <c r="H34" s="15"/>
      <c r="I34" s="17"/>
      <c r="J34" s="31"/>
      <c r="K34" s="19"/>
      <c r="L34" s="15"/>
    </row>
    <row r="35" spans="1:12" x14ac:dyDescent="0.25">
      <c r="A35" s="36" t="s">
        <v>45</v>
      </c>
      <c r="B35" s="15"/>
      <c r="C35" s="16">
        <v>0</v>
      </c>
      <c r="D35" s="17"/>
      <c r="E35" s="17"/>
      <c r="F35" s="15"/>
      <c r="G35" s="17">
        <f>B35+C35-D35-E35-F35</f>
        <v>0</v>
      </c>
      <c r="H35" s="15"/>
      <c r="I35" s="17">
        <f t="shared" si="4"/>
        <v>0</v>
      </c>
      <c r="J35" s="31"/>
      <c r="K35" s="19"/>
      <c r="L35" s="15"/>
    </row>
    <row r="36" spans="1:12" x14ac:dyDescent="0.25">
      <c r="A36" s="42" t="s">
        <v>46</v>
      </c>
      <c r="B36" s="30"/>
      <c r="C36" s="29"/>
      <c r="D36" s="11"/>
      <c r="E36" s="11"/>
      <c r="F36" s="30"/>
      <c r="G36" s="11">
        <f>B36+C36-D36-E36-F36</f>
        <v>0</v>
      </c>
      <c r="H36" s="30"/>
      <c r="I36" s="11"/>
      <c r="J36" s="43"/>
      <c r="K36" s="12">
        <f t="shared" si="3"/>
        <v>0</v>
      </c>
      <c r="L36" s="15"/>
    </row>
    <row r="37" spans="1:12" x14ac:dyDescent="0.25">
      <c r="A37" s="44" t="s">
        <v>47</v>
      </c>
      <c r="B37" s="15">
        <v>4</v>
      </c>
      <c r="C37" s="16"/>
      <c r="D37" s="17"/>
      <c r="E37" s="17"/>
      <c r="F37" s="15"/>
      <c r="G37" s="17"/>
      <c r="H37" s="15">
        <v>4</v>
      </c>
      <c r="I37" s="17"/>
      <c r="J37" s="31"/>
      <c r="K37" s="19">
        <f t="shared" si="3"/>
        <v>0</v>
      </c>
      <c r="L37" s="15"/>
    </row>
    <row r="38" spans="1:12" x14ac:dyDescent="0.25">
      <c r="A38" s="21" t="s">
        <v>99</v>
      </c>
      <c r="B38" s="15">
        <v>5</v>
      </c>
      <c r="C38" s="16"/>
      <c r="D38" s="17"/>
      <c r="E38" s="17"/>
      <c r="F38" s="15"/>
      <c r="G38" s="17"/>
      <c r="H38" s="15">
        <v>5</v>
      </c>
      <c r="I38" s="17"/>
      <c r="J38" s="31"/>
      <c r="K38" s="19">
        <f t="shared" si="3"/>
        <v>0</v>
      </c>
      <c r="L38" s="15"/>
    </row>
    <row r="39" spans="1:12" x14ac:dyDescent="0.25">
      <c r="A39" s="21" t="s">
        <v>48</v>
      </c>
      <c r="B39" s="15">
        <v>4</v>
      </c>
      <c r="C39" s="16"/>
      <c r="D39" s="17"/>
      <c r="E39" s="17"/>
      <c r="F39" s="15"/>
      <c r="G39" s="17"/>
      <c r="H39" s="15">
        <v>4</v>
      </c>
      <c r="I39" s="17"/>
      <c r="J39" s="31"/>
      <c r="K39" s="19">
        <f t="shared" si="3"/>
        <v>0</v>
      </c>
      <c r="L39" s="15"/>
    </row>
    <row r="40" spans="1:12" x14ac:dyDescent="0.25">
      <c r="A40" s="21" t="s">
        <v>49</v>
      </c>
      <c r="B40" s="15">
        <v>3</v>
      </c>
      <c r="C40" s="16"/>
      <c r="D40" s="17"/>
      <c r="E40" s="17"/>
      <c r="F40" s="15"/>
      <c r="G40" s="17"/>
      <c r="H40" s="15">
        <v>3</v>
      </c>
      <c r="I40" s="17"/>
      <c r="J40" s="31"/>
      <c r="K40" s="19">
        <f t="shared" si="3"/>
        <v>0</v>
      </c>
      <c r="L40" s="15"/>
    </row>
    <row r="41" spans="1:12" x14ac:dyDescent="0.25">
      <c r="A41" s="21" t="s">
        <v>50</v>
      </c>
      <c r="B41" s="15">
        <v>4</v>
      </c>
      <c r="C41" s="16"/>
      <c r="D41" s="17"/>
      <c r="E41" s="17"/>
      <c r="F41" s="15"/>
      <c r="G41" s="17"/>
      <c r="H41" s="15">
        <v>4</v>
      </c>
      <c r="I41" s="17"/>
      <c r="J41" s="31"/>
      <c r="K41" s="19">
        <f t="shared" si="3"/>
        <v>0</v>
      </c>
      <c r="L41" s="15"/>
    </row>
    <row r="42" spans="1:12" x14ac:dyDescent="0.25">
      <c r="A42" s="27" t="s">
        <v>51</v>
      </c>
      <c r="B42" s="30"/>
      <c r="C42" s="29"/>
      <c r="D42" s="11"/>
      <c r="E42" s="11"/>
      <c r="F42" s="30"/>
      <c r="G42" s="11">
        <f>B42+C42-D42-E42-F42</f>
        <v>0</v>
      </c>
      <c r="H42" s="30"/>
      <c r="I42" s="11"/>
      <c r="J42" s="43"/>
      <c r="K42" s="12">
        <f t="shared" si="3"/>
        <v>0</v>
      </c>
      <c r="L42" s="15"/>
    </row>
    <row r="43" spans="1:12" x14ac:dyDescent="0.25">
      <c r="A43" s="21" t="s">
        <v>52</v>
      </c>
      <c r="B43" s="15">
        <v>118</v>
      </c>
      <c r="C43" s="16"/>
      <c r="D43" s="17"/>
      <c r="E43" s="17"/>
      <c r="F43" s="15"/>
      <c r="G43" s="17"/>
      <c r="H43" s="15">
        <v>118</v>
      </c>
      <c r="I43" s="17"/>
      <c r="J43" s="31"/>
      <c r="K43" s="19">
        <f t="shared" si="3"/>
        <v>0</v>
      </c>
      <c r="L43" s="45"/>
    </row>
    <row r="44" spans="1:12" x14ac:dyDescent="0.25">
      <c r="A44" s="21" t="s">
        <v>53</v>
      </c>
      <c r="B44" s="15"/>
      <c r="C44" s="16"/>
      <c r="D44" s="17"/>
      <c r="E44" s="17"/>
      <c r="F44" s="15"/>
      <c r="G44" s="17"/>
      <c r="H44" s="15"/>
      <c r="I44" s="17"/>
      <c r="J44" s="31"/>
      <c r="K44" s="19">
        <f t="shared" si="3"/>
        <v>0</v>
      </c>
      <c r="L44" s="15"/>
    </row>
    <row r="45" spans="1:12" x14ac:dyDescent="0.25">
      <c r="A45" s="21" t="s">
        <v>54</v>
      </c>
      <c r="B45" s="15">
        <v>2</v>
      </c>
      <c r="C45" s="16"/>
      <c r="D45" s="17"/>
      <c r="E45" s="17"/>
      <c r="F45" s="15"/>
      <c r="G45" s="17"/>
      <c r="H45" s="15">
        <v>2</v>
      </c>
      <c r="I45" s="17"/>
      <c r="J45" s="31"/>
      <c r="K45" s="19">
        <f t="shared" si="3"/>
        <v>0</v>
      </c>
      <c r="L45" s="15"/>
    </row>
    <row r="46" spans="1:12" x14ac:dyDescent="0.25">
      <c r="A46" s="21" t="s">
        <v>55</v>
      </c>
      <c r="B46" s="15">
        <v>288</v>
      </c>
      <c r="C46" s="16"/>
      <c r="D46" s="17"/>
      <c r="E46" s="17"/>
      <c r="F46" s="15"/>
      <c r="G46" s="17"/>
      <c r="H46" s="15">
        <v>288</v>
      </c>
      <c r="I46" s="17"/>
      <c r="J46" s="31"/>
      <c r="K46" s="19">
        <f t="shared" si="3"/>
        <v>0</v>
      </c>
      <c r="L46" s="15"/>
    </row>
    <row r="47" spans="1:12" x14ac:dyDescent="0.25">
      <c r="A47" s="21" t="s">
        <v>56</v>
      </c>
      <c r="B47" s="15">
        <v>4</v>
      </c>
      <c r="C47" s="16"/>
      <c r="D47" s="17"/>
      <c r="E47" s="17"/>
      <c r="F47" s="15"/>
      <c r="G47" s="17"/>
      <c r="H47" s="15">
        <v>4</v>
      </c>
      <c r="I47" s="17"/>
      <c r="J47" s="22"/>
      <c r="K47" s="19">
        <f t="shared" si="3"/>
        <v>0</v>
      </c>
      <c r="L47" s="15"/>
    </row>
    <row r="48" spans="1:12" x14ac:dyDescent="0.25">
      <c r="A48" s="21" t="s">
        <v>57</v>
      </c>
      <c r="B48" s="15"/>
      <c r="C48" s="16"/>
      <c r="D48" s="17"/>
      <c r="E48" s="17"/>
      <c r="F48" s="15"/>
      <c r="G48" s="17"/>
      <c r="H48" s="15"/>
      <c r="I48" s="17"/>
      <c r="J48" s="22"/>
      <c r="K48" s="19">
        <f t="shared" si="3"/>
        <v>0</v>
      </c>
      <c r="L48" s="15"/>
    </row>
    <row r="49" spans="1:12" x14ac:dyDescent="0.25">
      <c r="A49" s="46" t="s">
        <v>58</v>
      </c>
      <c r="B49" s="30"/>
      <c r="C49" s="29"/>
      <c r="D49" s="11"/>
      <c r="E49" s="11"/>
      <c r="F49" s="30"/>
      <c r="G49" s="11">
        <f t="shared" ref="G49:G54" si="5">B49+C49-D49-E49-F49</f>
        <v>0</v>
      </c>
      <c r="H49" s="30"/>
      <c r="I49" s="11"/>
      <c r="J49" s="35"/>
      <c r="K49" s="12">
        <f t="shared" si="3"/>
        <v>0</v>
      </c>
      <c r="L49" s="15"/>
    </row>
    <row r="50" spans="1:12" x14ac:dyDescent="0.25">
      <c r="A50" s="47" t="s">
        <v>59</v>
      </c>
      <c r="B50" s="15"/>
      <c r="C50" s="16"/>
      <c r="D50" s="17"/>
      <c r="E50" s="17"/>
      <c r="F50" s="15"/>
      <c r="G50" s="17">
        <f t="shared" si="5"/>
        <v>0</v>
      </c>
      <c r="H50" s="15"/>
      <c r="I50" s="17">
        <f t="shared" ref="I50:I88" si="6">(H50-G50)</f>
        <v>0</v>
      </c>
      <c r="J50" s="22"/>
      <c r="K50" s="19">
        <f t="shared" si="3"/>
        <v>0</v>
      </c>
      <c r="L50" s="15"/>
    </row>
    <row r="51" spans="1:12" x14ac:dyDescent="0.25">
      <c r="A51" s="21" t="s">
        <v>60</v>
      </c>
      <c r="B51" s="15">
        <v>0</v>
      </c>
      <c r="C51" s="16"/>
      <c r="D51" s="17"/>
      <c r="E51" s="17"/>
      <c r="F51" s="15"/>
      <c r="G51" s="17">
        <f t="shared" si="5"/>
        <v>0</v>
      </c>
      <c r="H51" s="15">
        <v>0</v>
      </c>
      <c r="I51" s="17">
        <f t="shared" si="6"/>
        <v>0</v>
      </c>
      <c r="J51" s="22"/>
      <c r="K51" s="19">
        <f t="shared" si="3"/>
        <v>0</v>
      </c>
      <c r="L51" s="15"/>
    </row>
    <row r="52" spans="1:12" x14ac:dyDescent="0.25">
      <c r="A52" s="21" t="s">
        <v>61</v>
      </c>
      <c r="B52" s="15">
        <v>0</v>
      </c>
      <c r="C52" s="16"/>
      <c r="D52" s="17"/>
      <c r="E52" s="17"/>
      <c r="F52" s="15"/>
      <c r="G52" s="17">
        <f t="shared" si="5"/>
        <v>0</v>
      </c>
      <c r="H52" s="15">
        <v>0</v>
      </c>
      <c r="I52" s="17">
        <f t="shared" si="6"/>
        <v>0</v>
      </c>
      <c r="J52" s="31"/>
      <c r="K52" s="19">
        <f>(I52*J52)</f>
        <v>0</v>
      </c>
      <c r="L52" s="17"/>
    </row>
    <row r="53" spans="1:12" x14ac:dyDescent="0.25">
      <c r="A53" s="21" t="s">
        <v>62</v>
      </c>
      <c r="B53" s="15">
        <v>0</v>
      </c>
      <c r="C53" s="16"/>
      <c r="D53" s="17"/>
      <c r="E53" s="17"/>
      <c r="F53" s="15"/>
      <c r="G53" s="17">
        <f t="shared" si="5"/>
        <v>0</v>
      </c>
      <c r="H53" s="15">
        <v>0</v>
      </c>
      <c r="I53" s="17">
        <f t="shared" si="6"/>
        <v>0</v>
      </c>
      <c r="J53" s="31"/>
      <c r="K53" s="19">
        <f>(I53*J53)</f>
        <v>0</v>
      </c>
      <c r="L53" s="17"/>
    </row>
    <row r="54" spans="1:12" x14ac:dyDescent="0.25">
      <c r="A54" s="27" t="s">
        <v>63</v>
      </c>
      <c r="B54" s="30"/>
      <c r="C54" s="29"/>
      <c r="D54" s="11"/>
      <c r="E54" s="11"/>
      <c r="F54" s="30"/>
      <c r="G54" s="11">
        <f t="shared" si="5"/>
        <v>0</v>
      </c>
      <c r="H54" s="30"/>
      <c r="I54" s="11"/>
      <c r="J54" s="43"/>
      <c r="K54" s="12">
        <f t="shared" ref="K54:K62" si="7">(I54*J54)</f>
        <v>0</v>
      </c>
      <c r="L54" s="17"/>
    </row>
    <row r="55" spans="1:12" x14ac:dyDescent="0.25">
      <c r="A55" s="21" t="s">
        <v>64</v>
      </c>
      <c r="B55" s="15">
        <v>28</v>
      </c>
      <c r="C55" s="16"/>
      <c r="D55" s="17"/>
      <c r="E55" s="17"/>
      <c r="F55" s="15"/>
      <c r="G55" s="17"/>
      <c r="H55" s="15">
        <v>28</v>
      </c>
      <c r="I55" s="17"/>
      <c r="J55" s="31"/>
      <c r="K55" s="19">
        <f t="shared" si="7"/>
        <v>0</v>
      </c>
      <c r="L55" s="17"/>
    </row>
    <row r="56" spans="1:12" x14ac:dyDescent="0.25">
      <c r="A56" s="21" t="s">
        <v>65</v>
      </c>
      <c r="B56" s="15">
        <v>25</v>
      </c>
      <c r="C56" s="16"/>
      <c r="D56" s="17"/>
      <c r="E56" s="17"/>
      <c r="F56" s="15"/>
      <c r="G56" s="48"/>
      <c r="H56" s="15">
        <v>25</v>
      </c>
      <c r="I56" s="17"/>
      <c r="J56" s="31"/>
      <c r="K56" s="19">
        <f t="shared" si="7"/>
        <v>0</v>
      </c>
      <c r="L56" s="17"/>
    </row>
    <row r="57" spans="1:12" x14ac:dyDescent="0.25">
      <c r="A57" s="21" t="s">
        <v>66</v>
      </c>
      <c r="B57" s="15">
        <v>60</v>
      </c>
      <c r="C57" s="16"/>
      <c r="D57" s="17"/>
      <c r="E57" s="17"/>
      <c r="F57" s="15"/>
      <c r="G57" s="17"/>
      <c r="H57" s="15">
        <v>60</v>
      </c>
      <c r="I57" s="17"/>
      <c r="J57" s="31"/>
      <c r="K57" s="19">
        <f t="shared" si="7"/>
        <v>0</v>
      </c>
      <c r="L57" s="17"/>
    </row>
    <row r="58" spans="1:12" x14ac:dyDescent="0.25">
      <c r="A58" s="21" t="s">
        <v>67</v>
      </c>
      <c r="B58" s="15">
        <v>1</v>
      </c>
      <c r="C58" s="16"/>
      <c r="D58" s="17"/>
      <c r="E58" s="17"/>
      <c r="F58" s="15"/>
      <c r="G58" s="17"/>
      <c r="H58" s="15">
        <v>1</v>
      </c>
      <c r="I58" s="17"/>
      <c r="J58" s="31"/>
      <c r="K58" s="19">
        <f t="shared" si="7"/>
        <v>0</v>
      </c>
      <c r="L58" s="17"/>
    </row>
    <row r="59" spans="1:12" x14ac:dyDescent="0.25">
      <c r="A59" s="21" t="s">
        <v>68</v>
      </c>
      <c r="B59" s="15">
        <v>1</v>
      </c>
      <c r="C59" s="16"/>
      <c r="D59" s="17"/>
      <c r="E59" s="17"/>
      <c r="F59" s="15"/>
      <c r="G59" s="17"/>
      <c r="H59" s="15">
        <v>1</v>
      </c>
      <c r="I59" s="17"/>
      <c r="J59" s="31"/>
      <c r="K59" s="19">
        <f t="shared" si="7"/>
        <v>0</v>
      </c>
      <c r="L59" s="17"/>
    </row>
    <row r="60" spans="1:12" x14ac:dyDescent="0.25">
      <c r="A60" s="21" t="s">
        <v>69</v>
      </c>
      <c r="B60" s="15">
        <v>2</v>
      </c>
      <c r="C60" s="16"/>
      <c r="D60" s="17"/>
      <c r="E60" s="17"/>
      <c r="F60" s="15"/>
      <c r="G60" s="17"/>
      <c r="H60" s="15">
        <v>2</v>
      </c>
      <c r="I60" s="17"/>
      <c r="J60" s="31"/>
      <c r="K60" s="19">
        <f t="shared" si="7"/>
        <v>0</v>
      </c>
      <c r="L60" s="17"/>
    </row>
    <row r="61" spans="1:12" x14ac:dyDescent="0.25">
      <c r="A61" s="21" t="s">
        <v>70</v>
      </c>
      <c r="B61" s="15">
        <v>15</v>
      </c>
      <c r="C61" s="16"/>
      <c r="D61" s="17"/>
      <c r="E61" s="17"/>
      <c r="F61" s="15"/>
      <c r="G61" s="17"/>
      <c r="H61" s="15">
        <v>15</v>
      </c>
      <c r="I61" s="17"/>
      <c r="J61" s="31"/>
      <c r="K61" s="19">
        <f t="shared" si="7"/>
        <v>0</v>
      </c>
      <c r="L61" s="17"/>
    </row>
    <row r="62" spans="1:12" x14ac:dyDescent="0.25">
      <c r="A62" s="21" t="s">
        <v>71</v>
      </c>
      <c r="B62" s="15">
        <v>19</v>
      </c>
      <c r="C62" s="16"/>
      <c r="D62" s="17"/>
      <c r="E62" s="17"/>
      <c r="F62" s="15"/>
      <c r="G62" s="17"/>
      <c r="H62" s="15">
        <v>19</v>
      </c>
      <c r="I62" s="17"/>
      <c r="J62" s="31"/>
      <c r="K62" s="19">
        <f t="shared" si="7"/>
        <v>0</v>
      </c>
      <c r="L62" s="17"/>
    </row>
    <row r="63" spans="1:12" x14ac:dyDescent="0.25">
      <c r="A63" s="21" t="s">
        <v>72</v>
      </c>
      <c r="B63" s="15"/>
      <c r="C63" s="16"/>
      <c r="D63" s="17"/>
      <c r="E63" s="17"/>
      <c r="F63" s="15"/>
      <c r="G63" s="17"/>
      <c r="H63" s="15"/>
      <c r="I63" s="17"/>
      <c r="J63" s="49"/>
      <c r="K63" s="50"/>
      <c r="L63" s="17"/>
    </row>
    <row r="64" spans="1:12" x14ac:dyDescent="0.25">
      <c r="A64" s="21" t="s">
        <v>73</v>
      </c>
      <c r="B64" s="15">
        <v>2</v>
      </c>
      <c r="C64" s="16"/>
      <c r="D64" s="17"/>
      <c r="E64" s="17"/>
      <c r="F64" s="15"/>
      <c r="G64" s="17"/>
      <c r="H64" s="15">
        <v>2</v>
      </c>
      <c r="I64" s="17"/>
      <c r="J64" s="49"/>
      <c r="K64" s="50">
        <f t="shared" ref="K64:K87" si="8">(I64*J64)</f>
        <v>0</v>
      </c>
      <c r="L64" s="17"/>
    </row>
    <row r="65" spans="1:12" x14ac:dyDescent="0.25">
      <c r="A65" s="21" t="s">
        <v>74</v>
      </c>
      <c r="B65" s="15"/>
      <c r="C65" s="16"/>
      <c r="D65" s="17"/>
      <c r="E65" s="17"/>
      <c r="F65" s="15"/>
      <c r="G65" s="17"/>
      <c r="H65" s="15"/>
      <c r="I65" s="17"/>
      <c r="J65" s="31"/>
      <c r="K65" s="19">
        <f t="shared" si="8"/>
        <v>0</v>
      </c>
      <c r="L65" s="17"/>
    </row>
    <row r="66" spans="1:12" x14ac:dyDescent="0.25">
      <c r="A66" s="21" t="s">
        <v>75</v>
      </c>
      <c r="B66" s="15">
        <v>49</v>
      </c>
      <c r="C66" s="16"/>
      <c r="D66" s="17"/>
      <c r="E66" s="17"/>
      <c r="F66" s="15"/>
      <c r="G66" s="17"/>
      <c r="H66" s="15">
        <v>49</v>
      </c>
      <c r="I66" s="17"/>
      <c r="J66" s="31"/>
      <c r="K66" s="19">
        <f t="shared" si="8"/>
        <v>0</v>
      </c>
      <c r="L66" s="17"/>
    </row>
    <row r="67" spans="1:12" x14ac:dyDescent="0.25">
      <c r="A67" s="21" t="s">
        <v>76</v>
      </c>
      <c r="B67" s="15">
        <v>6</v>
      </c>
      <c r="C67" s="16"/>
      <c r="D67" s="17"/>
      <c r="E67" s="17"/>
      <c r="F67" s="15"/>
      <c r="G67" s="17"/>
      <c r="H67" s="15">
        <v>6</v>
      </c>
      <c r="I67" s="17"/>
      <c r="J67" s="31"/>
      <c r="K67" s="19">
        <f t="shared" si="8"/>
        <v>0</v>
      </c>
      <c r="L67" s="17"/>
    </row>
    <row r="68" spans="1:12" x14ac:dyDescent="0.25">
      <c r="A68" s="21" t="s">
        <v>77</v>
      </c>
      <c r="B68" s="15"/>
      <c r="C68" s="16"/>
      <c r="D68" s="17"/>
      <c r="E68" s="17"/>
      <c r="F68" s="15"/>
      <c r="G68" s="17"/>
      <c r="H68" s="15"/>
      <c r="I68" s="17"/>
      <c r="J68" s="31"/>
      <c r="K68" s="19">
        <f t="shared" si="8"/>
        <v>0</v>
      </c>
      <c r="L68" s="17"/>
    </row>
    <row r="69" spans="1:12" x14ac:dyDescent="0.25">
      <c r="A69" s="21" t="s">
        <v>78</v>
      </c>
      <c r="B69" s="15">
        <v>24</v>
      </c>
      <c r="C69" s="16"/>
      <c r="D69" s="17"/>
      <c r="E69" s="17"/>
      <c r="F69" s="15"/>
      <c r="G69" s="17"/>
      <c r="H69" s="15">
        <v>24</v>
      </c>
      <c r="I69" s="17"/>
      <c r="J69" s="31"/>
      <c r="K69" s="19">
        <f t="shared" si="8"/>
        <v>0</v>
      </c>
      <c r="L69" s="17"/>
    </row>
    <row r="70" spans="1:12" x14ac:dyDescent="0.25">
      <c r="A70" s="21" t="s">
        <v>79</v>
      </c>
      <c r="B70" s="15"/>
      <c r="C70" s="16"/>
      <c r="D70" s="17"/>
      <c r="E70" s="17"/>
      <c r="F70" s="15"/>
      <c r="G70" s="17"/>
      <c r="H70" s="15"/>
      <c r="I70" s="17"/>
      <c r="J70" s="31"/>
      <c r="K70" s="19">
        <f t="shared" si="8"/>
        <v>0</v>
      </c>
      <c r="L70" s="17"/>
    </row>
    <row r="71" spans="1:12" x14ac:dyDescent="0.25">
      <c r="A71" s="21" t="s">
        <v>80</v>
      </c>
      <c r="B71" s="15">
        <v>3</v>
      </c>
      <c r="C71" s="16"/>
      <c r="D71" s="17"/>
      <c r="E71" s="17"/>
      <c r="F71" s="15"/>
      <c r="G71" s="17"/>
      <c r="H71" s="15">
        <v>3</v>
      </c>
      <c r="I71" s="17"/>
      <c r="J71" s="31"/>
      <c r="K71" s="19">
        <f t="shared" si="8"/>
        <v>0</v>
      </c>
      <c r="L71" s="17"/>
    </row>
    <row r="72" spans="1:12" x14ac:dyDescent="0.25">
      <c r="A72" s="21" t="s">
        <v>81</v>
      </c>
      <c r="B72" s="15">
        <v>5</v>
      </c>
      <c r="C72" s="16"/>
      <c r="D72" s="17"/>
      <c r="E72" s="17"/>
      <c r="F72" s="15"/>
      <c r="G72" s="17"/>
      <c r="H72" s="15">
        <v>5</v>
      </c>
      <c r="I72" s="17"/>
      <c r="J72" s="31"/>
      <c r="K72" s="19">
        <f t="shared" si="8"/>
        <v>0</v>
      </c>
      <c r="L72" s="17"/>
    </row>
    <row r="73" spans="1:12" x14ac:dyDescent="0.25">
      <c r="A73" s="21" t="s">
        <v>82</v>
      </c>
      <c r="B73" s="15">
        <v>1</v>
      </c>
      <c r="C73" s="16"/>
      <c r="D73" s="17"/>
      <c r="E73" s="17"/>
      <c r="F73" s="15"/>
      <c r="G73" s="17"/>
      <c r="H73" s="15">
        <v>1</v>
      </c>
      <c r="I73" s="17"/>
      <c r="J73" s="31"/>
      <c r="K73" s="19">
        <f t="shared" si="8"/>
        <v>0</v>
      </c>
      <c r="L73" s="17"/>
    </row>
    <row r="74" spans="1:12" x14ac:dyDescent="0.25">
      <c r="A74" s="21" t="s">
        <v>83</v>
      </c>
      <c r="B74" s="15">
        <v>1</v>
      </c>
      <c r="C74" s="16"/>
      <c r="D74" s="17"/>
      <c r="E74" s="17"/>
      <c r="F74" s="15"/>
      <c r="G74" s="17"/>
      <c r="H74" s="15">
        <v>1</v>
      </c>
      <c r="I74" s="17"/>
      <c r="J74" s="31"/>
      <c r="K74" s="19">
        <f t="shared" si="8"/>
        <v>0</v>
      </c>
      <c r="L74" s="17"/>
    </row>
    <row r="75" spans="1:12" x14ac:dyDescent="0.25">
      <c r="A75" s="21" t="s">
        <v>84</v>
      </c>
      <c r="B75" s="15">
        <v>16</v>
      </c>
      <c r="C75" s="16"/>
      <c r="D75" s="17"/>
      <c r="E75" s="17"/>
      <c r="F75" s="15"/>
      <c r="G75" s="17"/>
      <c r="H75" s="15">
        <v>16</v>
      </c>
      <c r="I75" s="17"/>
      <c r="J75" s="31"/>
      <c r="K75" s="19">
        <f t="shared" si="8"/>
        <v>0</v>
      </c>
      <c r="L75" s="17"/>
    </row>
    <row r="76" spans="1:12" x14ac:dyDescent="0.25">
      <c r="A76" s="21" t="s">
        <v>85</v>
      </c>
      <c r="B76" s="15">
        <v>6</v>
      </c>
      <c r="C76" s="16"/>
      <c r="D76" s="17"/>
      <c r="E76" s="17"/>
      <c r="F76" s="15"/>
      <c r="G76" s="17"/>
      <c r="H76" s="15">
        <v>6</v>
      </c>
      <c r="I76" s="17"/>
      <c r="J76" s="31"/>
      <c r="K76" s="19">
        <f t="shared" si="8"/>
        <v>0</v>
      </c>
      <c r="L76" s="17"/>
    </row>
    <row r="77" spans="1:12" x14ac:dyDescent="0.25">
      <c r="A77" s="21" t="s">
        <v>86</v>
      </c>
      <c r="B77" s="15">
        <v>1</v>
      </c>
      <c r="C77" s="16"/>
      <c r="D77" s="17"/>
      <c r="E77" s="17"/>
      <c r="F77" s="15"/>
      <c r="G77" s="17"/>
      <c r="H77" s="15">
        <v>1</v>
      </c>
      <c r="I77" s="17"/>
      <c r="J77" s="31"/>
      <c r="K77" s="19">
        <f t="shared" si="8"/>
        <v>0</v>
      </c>
      <c r="L77" s="17"/>
    </row>
    <row r="78" spans="1:12" x14ac:dyDescent="0.25">
      <c r="A78" s="21" t="s">
        <v>87</v>
      </c>
      <c r="B78" s="15">
        <v>1</v>
      </c>
      <c r="C78" s="16"/>
      <c r="D78" s="17"/>
      <c r="E78" s="17"/>
      <c r="F78" s="15"/>
      <c r="G78" s="17"/>
      <c r="H78" s="15">
        <v>1</v>
      </c>
      <c r="I78" s="17"/>
      <c r="J78" s="31"/>
      <c r="K78" s="19">
        <f t="shared" si="8"/>
        <v>0</v>
      </c>
      <c r="L78" s="17"/>
    </row>
    <row r="79" spans="1:12" x14ac:dyDescent="0.25">
      <c r="A79" s="21" t="s">
        <v>88</v>
      </c>
      <c r="B79" s="15">
        <v>2</v>
      </c>
      <c r="C79" s="16"/>
      <c r="D79" s="17"/>
      <c r="E79" s="17"/>
      <c r="F79" s="15"/>
      <c r="G79" s="17"/>
      <c r="H79" s="15">
        <v>2</v>
      </c>
      <c r="I79" s="17"/>
      <c r="J79" s="31"/>
      <c r="K79" s="19">
        <f t="shared" si="8"/>
        <v>0</v>
      </c>
      <c r="L79" s="17"/>
    </row>
    <row r="80" spans="1:12" x14ac:dyDescent="0.25">
      <c r="A80" s="21" t="s">
        <v>89</v>
      </c>
      <c r="B80" s="15"/>
      <c r="C80" s="16"/>
      <c r="D80" s="17"/>
      <c r="E80" s="17"/>
      <c r="F80" s="15"/>
      <c r="G80" s="17"/>
      <c r="H80" s="15"/>
      <c r="I80" s="17"/>
      <c r="J80" s="31"/>
      <c r="K80" s="19">
        <f t="shared" si="8"/>
        <v>0</v>
      </c>
      <c r="L80" s="17"/>
    </row>
    <row r="81" spans="1:12" x14ac:dyDescent="0.25">
      <c r="A81" s="21" t="s">
        <v>90</v>
      </c>
      <c r="B81" s="15">
        <v>2</v>
      </c>
      <c r="C81" s="16"/>
      <c r="D81" s="17"/>
      <c r="E81" s="17"/>
      <c r="F81" s="15"/>
      <c r="G81" s="17"/>
      <c r="H81" s="15">
        <v>2</v>
      </c>
      <c r="I81" s="17"/>
      <c r="J81" s="31"/>
      <c r="K81" s="19">
        <f t="shared" si="8"/>
        <v>0</v>
      </c>
      <c r="L81" s="17"/>
    </row>
    <row r="82" spans="1:12" x14ac:dyDescent="0.25">
      <c r="A82" s="21" t="s">
        <v>91</v>
      </c>
      <c r="B82" s="15"/>
      <c r="C82" s="16"/>
      <c r="D82" s="17"/>
      <c r="E82" s="17"/>
      <c r="F82" s="15"/>
      <c r="G82" s="17"/>
      <c r="H82" s="15"/>
      <c r="I82" s="17"/>
      <c r="J82" s="17"/>
      <c r="K82" s="19">
        <f t="shared" si="8"/>
        <v>0</v>
      </c>
      <c r="L82" s="17"/>
    </row>
    <row r="83" spans="1:12" x14ac:dyDescent="0.25">
      <c r="A83" s="21" t="s">
        <v>92</v>
      </c>
      <c r="B83" s="15"/>
      <c r="C83" s="16"/>
      <c r="D83" s="17"/>
      <c r="E83" s="17"/>
      <c r="F83" s="15"/>
      <c r="G83" s="17"/>
      <c r="H83" s="15"/>
      <c r="I83" s="17"/>
      <c r="J83" s="17"/>
      <c r="K83" s="19">
        <f t="shared" si="8"/>
        <v>0</v>
      </c>
      <c r="L83" s="17"/>
    </row>
    <row r="84" spans="1:12" x14ac:dyDescent="0.25">
      <c r="A84" s="21" t="s">
        <v>93</v>
      </c>
      <c r="B84" s="15">
        <v>1</v>
      </c>
      <c r="C84" s="16"/>
      <c r="D84" s="17"/>
      <c r="E84" s="17"/>
      <c r="F84" s="15"/>
      <c r="G84" s="17"/>
      <c r="H84" s="15">
        <v>1</v>
      </c>
      <c r="I84" s="17"/>
      <c r="J84" s="17"/>
      <c r="K84" s="19">
        <f t="shared" si="8"/>
        <v>0</v>
      </c>
      <c r="L84" s="17"/>
    </row>
    <row r="85" spans="1:12" x14ac:dyDescent="0.25">
      <c r="A85" s="21" t="s">
        <v>94</v>
      </c>
      <c r="B85" s="15">
        <v>672</v>
      </c>
      <c r="C85" s="16"/>
      <c r="D85" s="17"/>
      <c r="E85" s="17"/>
      <c r="F85" s="15"/>
      <c r="G85" s="17"/>
      <c r="H85" s="15">
        <v>672</v>
      </c>
      <c r="I85" s="17"/>
      <c r="J85" s="17"/>
      <c r="K85" s="19">
        <f t="shared" si="8"/>
        <v>0</v>
      </c>
      <c r="L85" s="17"/>
    </row>
    <row r="86" spans="1:12" x14ac:dyDescent="0.25">
      <c r="A86" s="21" t="s">
        <v>95</v>
      </c>
      <c r="B86" s="15"/>
      <c r="C86" s="16"/>
      <c r="D86" s="17"/>
      <c r="E86" s="17"/>
      <c r="F86" s="15"/>
      <c r="G86" s="17"/>
      <c r="H86" s="15"/>
      <c r="I86" s="17"/>
      <c r="J86" s="17"/>
      <c r="K86" s="19">
        <f t="shared" si="8"/>
        <v>0</v>
      </c>
      <c r="L86" s="17"/>
    </row>
    <row r="87" spans="1:12" ht="15.75" thickBot="1" x14ac:dyDescent="0.3">
      <c r="A87" s="51" t="s">
        <v>96</v>
      </c>
      <c r="B87" s="15">
        <v>13</v>
      </c>
      <c r="C87" s="16"/>
      <c r="E87" s="17"/>
      <c r="F87" s="15"/>
      <c r="G87" s="17"/>
      <c r="H87" s="15">
        <v>13</v>
      </c>
      <c r="I87" s="17"/>
      <c r="J87" s="17"/>
      <c r="K87" s="19">
        <f t="shared" si="8"/>
        <v>0</v>
      </c>
      <c r="L87" s="17"/>
    </row>
    <row r="88" spans="1:12" hidden="1" x14ac:dyDescent="0.25">
      <c r="A88" s="1" t="s">
        <v>97</v>
      </c>
      <c r="I88" s="17">
        <f t="shared" si="6"/>
        <v>0</v>
      </c>
    </row>
    <row r="89" spans="1:12" x14ac:dyDescent="0.25">
      <c r="A89" s="1"/>
      <c r="D89" s="17"/>
      <c r="I89" s="17"/>
    </row>
  </sheetData>
  <conditionalFormatting sqref="A5">
    <cfRule type="duplicateValues" dxfId="16" priority="9"/>
  </conditionalFormatting>
  <conditionalFormatting sqref="A6:A7">
    <cfRule type="duplicateValues" dxfId="15" priority="8"/>
  </conditionalFormatting>
  <conditionalFormatting sqref="A18">
    <cfRule type="duplicateValues" dxfId="14" priority="12"/>
  </conditionalFormatting>
  <conditionalFormatting sqref="A19">
    <cfRule type="duplicateValues" dxfId="13" priority="10"/>
  </conditionalFormatting>
  <conditionalFormatting sqref="A20:A21">
    <cfRule type="duplicateValues" dxfId="12" priority="11"/>
  </conditionalFormatting>
  <conditionalFormatting sqref="A23">
    <cfRule type="duplicateValues" dxfId="11" priority="13"/>
  </conditionalFormatting>
  <conditionalFormatting sqref="A24:A25 A22">
    <cfRule type="duplicateValues" dxfId="10" priority="14"/>
  </conditionalFormatting>
  <conditionalFormatting sqref="A24:A28">
    <cfRule type="duplicateValues" dxfId="9" priority="15"/>
  </conditionalFormatting>
  <conditionalFormatting sqref="A26">
    <cfRule type="duplicateValues" dxfId="8" priority="2"/>
  </conditionalFormatting>
  <conditionalFormatting sqref="A27:A87 A8:A17">
    <cfRule type="duplicateValues" dxfId="7" priority="17"/>
  </conditionalFormatting>
  <conditionalFormatting sqref="A32">
    <cfRule type="duplicateValues" dxfId="6" priority="3"/>
  </conditionalFormatting>
  <conditionalFormatting sqref="A33 A36:A37">
    <cfRule type="duplicateValues" dxfId="5" priority="5"/>
  </conditionalFormatting>
  <conditionalFormatting sqref="A34:A35">
    <cfRule type="duplicateValues" dxfId="4" priority="1"/>
  </conditionalFormatting>
  <conditionalFormatting sqref="A40">
    <cfRule type="duplicateValues" dxfId="3" priority="4"/>
  </conditionalFormatting>
  <conditionalFormatting sqref="A41 A29:A31 A38:A39">
    <cfRule type="duplicateValues" dxfId="2" priority="6"/>
  </conditionalFormatting>
  <conditionalFormatting sqref="A74:A76">
    <cfRule type="duplicateValues" dxfId="1" priority="16"/>
  </conditionalFormatting>
  <conditionalFormatting sqref="A87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Garden City</dc:creator>
  <cp:lastModifiedBy>Garden City</cp:lastModifiedBy>
  <dcterms:created xsi:type="dcterms:W3CDTF">2024-05-18T13:00:59Z</dcterms:created>
  <dcterms:modified xsi:type="dcterms:W3CDTF">2026-05-03T22:05:35Z</dcterms:modified>
</cp:coreProperties>
</file>